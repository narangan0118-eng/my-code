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y code\"/>
    </mc:Choice>
  </mc:AlternateContent>
  <xr:revisionPtr revIDLastSave="0" documentId="13_ncr:1_{51CC37AB-29A8-4899-A6A2-29BAFBCCE169}" xr6:coauthVersionLast="47" xr6:coauthVersionMax="47" xr10:uidLastSave="{00000000-0000-0000-0000-000000000000}"/>
  <bookViews>
    <workbookView xWindow="-98" yWindow="-98" windowWidth="21795" windowHeight="12975" firstSheet="4" activeTab="11" xr2:uid="{CCD75A47-C7C3-E04B-9072-17CE2F06DC05}"/>
  </bookViews>
  <sheets>
    <sheet name="Apple" sheetId="1" r:id="rId1"/>
    <sheet name="Microsoft" sheetId="2" r:id="rId2"/>
    <sheet name="Google" sheetId="3" r:id="rId3"/>
    <sheet name="Amazon" sheetId="4" r:id="rId4"/>
    <sheet name="NVIDIA" sheetId="5" r:id="rId5"/>
    <sheet name="Meta(Facebook)" sheetId="6" r:id="rId6"/>
    <sheet name="Samsung 005930" sheetId="7" r:id="rId7"/>
    <sheet name="Tesla" sheetId="8" r:id="rId8"/>
    <sheet name="Intel" sheetId="9" r:id="rId9"/>
    <sheet name="Tencent" sheetId="10" r:id="rId10"/>
    <sheet name="close" sheetId="11" r:id="rId11"/>
    <sheet name="C_zarda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2" i="12"/>
  <c r="A173" i="12" a="1"/>
  <c r="A173" i="12" s="1"/>
  <c r="A172" i="12" a="1"/>
  <c r="A172" i="12" s="1"/>
  <c r="A171" i="12" a="1"/>
  <c r="A171" i="12" s="1"/>
  <c r="A170" i="12" a="1"/>
  <c r="A170" i="12" s="1"/>
  <c r="A169" i="12" a="1"/>
  <c r="A169" i="12" s="1"/>
  <c r="A168" i="12" a="1"/>
  <c r="A168" i="12" s="1"/>
  <c r="A167" i="12" a="1"/>
  <c r="A167" i="12" s="1"/>
  <c r="A166" i="12" a="1"/>
  <c r="A166" i="12" s="1"/>
  <c r="A165" i="12" a="1"/>
  <c r="A165" i="12" s="1"/>
  <c r="A164" i="12" a="1"/>
  <c r="A164" i="12" s="1"/>
  <c r="A163" i="12" a="1"/>
  <c r="A163" i="12" s="1"/>
  <c r="A162" i="12" a="1"/>
  <c r="A162" i="12" s="1"/>
  <c r="A161" i="12" a="1"/>
  <c r="A161" i="12" s="1"/>
  <c r="A160" i="12" a="1"/>
  <c r="A160" i="12" s="1"/>
  <c r="A159" i="12" a="1"/>
  <c r="A159" i="12" s="1"/>
  <c r="A158" i="12" a="1"/>
  <c r="A158" i="12" s="1"/>
  <c r="A157" i="12" a="1"/>
  <c r="A157" i="12" s="1"/>
  <c r="A156" i="12" a="1"/>
  <c r="A156" i="12" s="1"/>
  <c r="A155" i="12" a="1"/>
  <c r="A155" i="12" s="1"/>
  <c r="A154" i="12" a="1"/>
  <c r="A154" i="12" s="1"/>
  <c r="A153" i="12" a="1"/>
  <c r="A153" i="12" s="1"/>
  <c r="A152" i="12" a="1"/>
  <c r="A152" i="12" s="1"/>
  <c r="A151" i="12" a="1"/>
  <c r="A151" i="12" s="1"/>
  <c r="A150" i="12" a="1"/>
  <c r="A150" i="12" s="1"/>
  <c r="A149" i="12" a="1"/>
  <c r="A149" i="12" s="1"/>
  <c r="A148" i="12" a="1"/>
  <c r="A148" i="12" s="1"/>
  <c r="A147" i="12" a="1"/>
  <c r="A147" i="12" s="1"/>
  <c r="A146" i="12" a="1"/>
  <c r="A146" i="12" s="1"/>
  <c r="A145" i="12" a="1"/>
  <c r="A145" i="12" s="1"/>
  <c r="A144" i="12" a="1"/>
  <c r="A144" i="12" s="1"/>
  <c r="A143" i="12" a="1"/>
  <c r="A143" i="12" s="1"/>
  <c r="A142" i="12" a="1"/>
  <c r="A142" i="12" s="1"/>
  <c r="A141" i="12" a="1"/>
  <c r="A141" i="12" s="1"/>
  <c r="A140" i="12" a="1"/>
  <c r="A140" i="12" s="1"/>
  <c r="A139" i="12" a="1"/>
  <c r="A139" i="12" s="1"/>
  <c r="A138" i="12" a="1"/>
  <c r="A138" i="12" s="1"/>
  <c r="A137" i="12" a="1"/>
  <c r="A137" i="12" s="1"/>
  <c r="A136" i="12" a="1"/>
  <c r="A136" i="12" s="1"/>
  <c r="A135" i="12" a="1"/>
  <c r="A135" i="12" s="1"/>
  <c r="A134" i="12" a="1"/>
  <c r="A134" i="12" s="1"/>
  <c r="A133" i="12" a="1"/>
  <c r="A133" i="12" s="1"/>
  <c r="A132" i="12" a="1"/>
  <c r="A132" i="12" s="1"/>
  <c r="A131" i="12" a="1"/>
  <c r="A131" i="12" s="1"/>
  <c r="A130" i="12" a="1"/>
  <c r="A130" i="12" s="1"/>
  <c r="A129" i="12" a="1"/>
  <c r="A129" i="12" s="1"/>
  <c r="A128" i="12" a="1"/>
  <c r="A128" i="12" s="1"/>
  <c r="A127" i="12" a="1"/>
  <c r="A127" i="12" s="1"/>
  <c r="A126" i="12" a="1"/>
  <c r="A126" i="12" s="1"/>
  <c r="A125" i="12" a="1"/>
  <c r="A125" i="12" s="1"/>
  <c r="A124" i="12" a="1"/>
  <c r="A124" i="12" s="1"/>
  <c r="A123" i="12" a="1"/>
  <c r="A123" i="12" s="1"/>
  <c r="A122" i="12" a="1"/>
  <c r="A122" i="12" s="1"/>
  <c r="A121" i="12" a="1"/>
  <c r="A121" i="12" s="1"/>
  <c r="A120" i="12" a="1"/>
  <c r="A120" i="12" s="1"/>
  <c r="A119" i="12" a="1"/>
  <c r="A119" i="12" s="1"/>
  <c r="A118" i="12" a="1"/>
  <c r="A118" i="12" s="1"/>
  <c r="A117" i="12" a="1"/>
  <c r="A117" i="12" s="1"/>
  <c r="A116" i="12" a="1"/>
  <c r="A116" i="12" s="1"/>
  <c r="A115" i="12" a="1"/>
  <c r="A115" i="12" s="1"/>
  <c r="A114" i="12" a="1"/>
  <c r="A114" i="12" s="1"/>
  <c r="A113" i="12" a="1"/>
  <c r="A113" i="12" s="1"/>
  <c r="A112" i="12" a="1"/>
  <c r="A112" i="12" s="1"/>
  <c r="A111" i="12" a="1"/>
  <c r="A111" i="12" s="1"/>
  <c r="A110" i="12" a="1"/>
  <c r="A110" i="12" s="1"/>
  <c r="A109" i="12" a="1"/>
  <c r="A109" i="12" s="1"/>
  <c r="A108" i="12" a="1"/>
  <c r="A108" i="12" s="1"/>
  <c r="A107" i="12" a="1"/>
  <c r="A107" i="12" s="1"/>
  <c r="A106" i="12" a="1"/>
  <c r="A106" i="12" s="1"/>
  <c r="A105" i="12" a="1"/>
  <c r="A105" i="12" s="1"/>
  <c r="A104" i="12" a="1"/>
  <c r="A104" i="12" s="1"/>
  <c r="A103" i="12" a="1"/>
  <c r="A103" i="12" s="1"/>
  <c r="A102" i="12" a="1"/>
  <c r="A102" i="12" s="1"/>
  <c r="A101" i="12" a="1"/>
  <c r="A101" i="12" s="1"/>
  <c r="A100" i="12" a="1"/>
  <c r="A100" i="12" s="1"/>
  <c r="A99" i="12" a="1"/>
  <c r="A99" i="12" s="1"/>
  <c r="A98" i="12" a="1"/>
  <c r="A98" i="12" s="1"/>
  <c r="A97" i="12" a="1"/>
  <c r="A97" i="12" s="1"/>
  <c r="A96" i="12" a="1"/>
  <c r="A96" i="12" s="1"/>
  <c r="A95" i="12" a="1"/>
  <c r="A95" i="12" s="1"/>
  <c r="A94" i="12" a="1"/>
  <c r="A94" i="12" s="1"/>
  <c r="A93" i="12" a="1"/>
  <c r="A93" i="12" s="1"/>
  <c r="A92" i="12" a="1"/>
  <c r="A92" i="12" s="1"/>
  <c r="A91" i="12" a="1"/>
  <c r="A91" i="12" s="1"/>
  <c r="A90" i="12" a="1"/>
  <c r="A90" i="12" s="1"/>
  <c r="A89" i="12" a="1"/>
  <c r="A89" i="12" s="1"/>
  <c r="A88" i="12" a="1"/>
  <c r="A88" i="12" s="1"/>
  <c r="A87" i="12" a="1"/>
  <c r="A87" i="12" s="1"/>
  <c r="A86" i="12" a="1"/>
  <c r="A86" i="12" s="1"/>
  <c r="A85" i="12" a="1"/>
  <c r="A85" i="12" s="1"/>
  <c r="A84" i="12" a="1"/>
  <c r="A84" i="12" s="1"/>
  <c r="A83" i="12" a="1"/>
  <c r="A83" i="12" s="1"/>
  <c r="A82" i="12" a="1"/>
  <c r="A82" i="12" s="1"/>
  <c r="A81" i="12" a="1"/>
  <c r="A81" i="12" s="1"/>
  <c r="A80" i="12" a="1"/>
  <c r="A80" i="12" s="1"/>
  <c r="A79" i="12" a="1"/>
  <c r="A79" i="12" s="1"/>
  <c r="A78" i="12" a="1"/>
  <c r="A78" i="12" s="1"/>
  <c r="A77" i="12" a="1"/>
  <c r="A77" i="12" s="1"/>
  <c r="A76" i="12" a="1"/>
  <c r="A76" i="12" s="1"/>
  <c r="A75" i="12" a="1"/>
  <c r="A75" i="12" s="1"/>
  <c r="A74" i="12" a="1"/>
  <c r="A74" i="12" s="1"/>
  <c r="A73" i="12" a="1"/>
  <c r="A73" i="12" s="1"/>
  <c r="A72" i="12" a="1"/>
  <c r="A72" i="12" s="1"/>
  <c r="A71" i="12" a="1"/>
  <c r="A71" i="12" s="1"/>
  <c r="A70" i="12" a="1"/>
  <c r="A70" i="12" s="1"/>
  <c r="A69" i="12" a="1"/>
  <c r="A69" i="12" s="1"/>
  <c r="A68" i="12" a="1"/>
  <c r="A68" i="12" s="1"/>
  <c r="A67" i="12" a="1"/>
  <c r="A67" i="12" s="1"/>
  <c r="A66" i="12" a="1"/>
  <c r="A66" i="12" s="1"/>
  <c r="A65" i="12" a="1"/>
  <c r="A65" i="12" s="1"/>
  <c r="A64" i="12" a="1"/>
  <c r="A64" i="12" s="1"/>
  <c r="A63" i="12" a="1"/>
  <c r="A63" i="12" s="1"/>
  <c r="A62" i="12" a="1"/>
  <c r="A62" i="12" s="1"/>
  <c r="A61" i="12" a="1"/>
  <c r="A61" i="12" s="1"/>
  <c r="A60" i="12" a="1"/>
  <c r="A60" i="12" s="1"/>
  <c r="A59" i="12" a="1"/>
  <c r="A59" i="12" s="1"/>
  <c r="A58" i="12" a="1"/>
  <c r="A58" i="12" s="1"/>
  <c r="A57" i="12" a="1"/>
  <c r="A57" i="12" s="1"/>
  <c r="A56" i="12" a="1"/>
  <c r="A56" i="12" s="1"/>
  <c r="A55" i="12" a="1"/>
  <c r="A55" i="12" s="1"/>
  <c r="A54" i="12" a="1"/>
  <c r="A54" i="12" s="1"/>
  <c r="A53" i="12" a="1"/>
  <c r="A53" i="12" s="1"/>
  <c r="A52" i="12" a="1"/>
  <c r="A52" i="12" s="1"/>
  <c r="A51" i="12" a="1"/>
  <c r="A51" i="12" s="1"/>
  <c r="A50" i="12" a="1"/>
  <c r="A50" i="12" s="1"/>
  <c r="A49" i="12" a="1"/>
  <c r="A49" i="12" s="1"/>
  <c r="A48" i="12" a="1"/>
  <c r="A48" i="12" s="1"/>
  <c r="A47" i="12" a="1"/>
  <c r="A47" i="12" s="1"/>
  <c r="A46" i="12" a="1"/>
  <c r="A46" i="12" s="1"/>
  <c r="A45" i="12" a="1"/>
  <c r="A45" i="12" s="1"/>
  <c r="A44" i="12" a="1"/>
  <c r="A44" i="12" s="1"/>
  <c r="A43" i="12" a="1"/>
  <c r="A43" i="12" s="1"/>
  <c r="A42" i="12" a="1"/>
  <c r="A42" i="12" s="1"/>
  <c r="A41" i="12" a="1"/>
  <c r="A41" i="12" s="1"/>
  <c r="A40" i="12" a="1"/>
  <c r="A40" i="12" s="1"/>
  <c r="A39" i="12" a="1"/>
  <c r="A39" i="12" s="1"/>
  <c r="A38" i="12" a="1"/>
  <c r="A38" i="12" s="1"/>
  <c r="A37" i="12" a="1"/>
  <c r="A37" i="12" s="1"/>
  <c r="A36" i="12" a="1"/>
  <c r="A36" i="12" s="1"/>
  <c r="A35" i="12" a="1"/>
  <c r="A35" i="12" s="1"/>
  <c r="A34" i="12" a="1"/>
  <c r="A34" i="12" s="1"/>
  <c r="A33" i="12" a="1"/>
  <c r="A33" i="12" s="1"/>
  <c r="A32" i="12" a="1"/>
  <c r="A32" i="12" s="1"/>
  <c r="A31" i="12" a="1"/>
  <c r="A31" i="12" s="1"/>
  <c r="A30" i="12" a="1"/>
  <c r="A30" i="12" s="1"/>
  <c r="A29" i="12" a="1"/>
  <c r="A29" i="12" s="1"/>
  <c r="A28" i="12" a="1"/>
  <c r="A28" i="12" s="1"/>
  <c r="A27" i="12" a="1"/>
  <c r="A27" i="12" s="1"/>
  <c r="A26" i="12" a="1"/>
  <c r="A26" i="12" s="1"/>
  <c r="A25" i="12" a="1"/>
  <c r="A25" i="12" s="1"/>
  <c r="A24" i="12" a="1"/>
  <c r="A24" i="12" s="1"/>
  <c r="A23" i="12" a="1"/>
  <c r="A23" i="12" s="1"/>
  <c r="A22" i="12" a="1"/>
  <c r="A22" i="12" s="1"/>
  <c r="A21" i="12" a="1"/>
  <c r="A21" i="12" s="1"/>
  <c r="A20" i="12" a="1"/>
  <c r="A20" i="12" s="1"/>
  <c r="A19" i="12" a="1"/>
  <c r="A19" i="12" s="1"/>
  <c r="A18" i="12" a="1"/>
  <c r="A18" i="12" s="1"/>
  <c r="A17" i="12" a="1"/>
  <c r="A17" i="12" s="1"/>
  <c r="A16" i="12" a="1"/>
  <c r="A16" i="12" s="1"/>
  <c r="A15" i="12" a="1"/>
  <c r="A15" i="12" s="1"/>
  <c r="A14" i="12" a="1"/>
  <c r="A14" i="12" s="1"/>
  <c r="A13" i="12" a="1"/>
  <c r="A13" i="12" s="1"/>
  <c r="A12" i="12" a="1"/>
  <c r="A12" i="12" s="1"/>
  <c r="A11" i="12" a="1"/>
  <c r="A11" i="12" s="1"/>
  <c r="A10" i="12" a="1"/>
  <c r="A10" i="12" s="1"/>
  <c r="A9" i="12" a="1"/>
  <c r="A9" i="12" s="1"/>
  <c r="A8" i="12" a="1"/>
  <c r="A8" i="12" s="1"/>
  <c r="A7" i="12" a="1"/>
  <c r="A7" i="12" s="1"/>
  <c r="A6" i="12" a="1"/>
  <c r="A6" i="12" s="1"/>
  <c r="A5" i="12" a="1"/>
  <c r="A5" i="12" s="1"/>
  <c r="A4" i="12" a="1"/>
  <c r="A4" i="12" s="1"/>
  <c r="A3" i="12" a="1"/>
  <c r="A3" i="12" s="1"/>
  <c r="A2" i="12" a="1"/>
  <c r="A2" i="12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2" i="11"/>
  <c r="B164" i="11"/>
  <c r="B165" i="11"/>
  <c r="B166" i="11"/>
  <c r="B167" i="11"/>
  <c r="B168" i="11"/>
  <c r="B169" i="11"/>
  <c r="B170" i="11"/>
  <c r="B171" i="11"/>
  <c r="B172" i="11"/>
  <c r="B173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2" i="11"/>
  <c r="A171" i="11" a="1"/>
  <c r="A171" i="11"/>
  <c r="A172" i="11" a="1"/>
  <c r="A172" i="11"/>
  <c r="A173" i="11" a="1"/>
  <c r="A173" i="11"/>
  <c r="A164" i="11" a="1"/>
  <c r="A164" i="11"/>
  <c r="A165" i="11" a="1"/>
  <c r="A165" i="11"/>
  <c r="A166" i="11" a="1"/>
  <c r="A166" i="11"/>
  <c r="A167" i="11" a="1"/>
  <c r="A167" i="11"/>
  <c r="A168" i="11" a="1"/>
  <c r="A168" i="11"/>
  <c r="A169" i="11" a="1"/>
  <c r="A169" i="11"/>
  <c r="A170" i="11" a="1"/>
  <c r="A170" i="11"/>
  <c r="A3" i="11" a="1"/>
  <c r="A3" i="11"/>
  <c r="A4" i="11" a="1"/>
  <c r="A4" i="11"/>
  <c r="A5" i="11" a="1"/>
  <c r="A5" i="11"/>
  <c r="A6" i="11" a="1"/>
  <c r="A6" i="11"/>
  <c r="A7" i="11" a="1"/>
  <c r="A7" i="11"/>
  <c r="A8" i="11" a="1"/>
  <c r="A8" i="11"/>
  <c r="A9" i="11" a="1"/>
  <c r="A9" i="11"/>
  <c r="A10" i="11" a="1"/>
  <c r="A10" i="11"/>
  <c r="A11" i="11" a="1"/>
  <c r="A11" i="11"/>
  <c r="A12" i="11" a="1"/>
  <c r="A12" i="11"/>
  <c r="A13" i="11" a="1"/>
  <c r="A13" i="11"/>
  <c r="A14" i="11" a="1"/>
  <c r="A14" i="11"/>
  <c r="A15" i="11" a="1"/>
  <c r="A15" i="11"/>
  <c r="A16" i="11" a="1"/>
  <c r="A16" i="11"/>
  <c r="A17" i="11" a="1"/>
  <c r="A17" i="11"/>
  <c r="A18" i="11" a="1"/>
  <c r="A18" i="11"/>
  <c r="A19" i="11" a="1"/>
  <c r="A19" i="11"/>
  <c r="A20" i="11" a="1"/>
  <c r="A20" i="11"/>
  <c r="A21" i="11" a="1"/>
  <c r="A21" i="11"/>
  <c r="A22" i="11" a="1"/>
  <c r="A22" i="11"/>
  <c r="A23" i="11" a="1"/>
  <c r="A23" i="11"/>
  <c r="A24" i="11" a="1"/>
  <c r="A24" i="11"/>
  <c r="A25" i="11" a="1"/>
  <c r="A25" i="11"/>
  <c r="A26" i="11" a="1"/>
  <c r="A26" i="11"/>
  <c r="A27" i="11" a="1"/>
  <c r="A27" i="11"/>
  <c r="A28" i="11" a="1"/>
  <c r="A28" i="11"/>
  <c r="A29" i="11" a="1"/>
  <c r="A29" i="11"/>
  <c r="A30" i="11" a="1"/>
  <c r="A30" i="11"/>
  <c r="A31" i="11" a="1"/>
  <c r="A31" i="11"/>
  <c r="A32" i="11" a="1"/>
  <c r="A32" i="11"/>
  <c r="A33" i="11" a="1"/>
  <c r="A33" i="11"/>
  <c r="A34" i="11" a="1"/>
  <c r="A34" i="11"/>
  <c r="A35" i="11" a="1"/>
  <c r="A35" i="11"/>
  <c r="A36" i="11" a="1"/>
  <c r="A36" i="11"/>
  <c r="A37" i="11" a="1"/>
  <c r="A37" i="11"/>
  <c r="A38" i="11" a="1"/>
  <c r="A38" i="11"/>
  <c r="A39" i="11" a="1"/>
  <c r="A39" i="11"/>
  <c r="A40" i="11" a="1"/>
  <c r="A40" i="11"/>
  <c r="A41" i="11" a="1"/>
  <c r="A41" i="11"/>
  <c r="A42" i="11" a="1"/>
  <c r="A42" i="11"/>
  <c r="A43" i="11" a="1"/>
  <c r="A43" i="11"/>
  <c r="A44" i="11" a="1"/>
  <c r="A44" i="11"/>
  <c r="A45" i="11" a="1"/>
  <c r="A45" i="11"/>
  <c r="A46" i="11" a="1"/>
  <c r="A46" i="11"/>
  <c r="A47" i="11" a="1"/>
  <c r="A47" i="11"/>
  <c r="A48" i="11" a="1"/>
  <c r="A48" i="11"/>
  <c r="A49" i="11" a="1"/>
  <c r="A49" i="11"/>
  <c r="A50" i="11" a="1"/>
  <c r="A50" i="11"/>
  <c r="A51" i="11" a="1"/>
  <c r="A51" i="11"/>
  <c r="A52" i="11" a="1"/>
  <c r="A52" i="11"/>
  <c r="A53" i="11" a="1"/>
  <c r="A53" i="11"/>
  <c r="A54" i="11" a="1"/>
  <c r="A54" i="11"/>
  <c r="A55" i="11" a="1"/>
  <c r="A55" i="11"/>
  <c r="A56" i="11" a="1"/>
  <c r="A56" i="11"/>
  <c r="A57" i="11" a="1"/>
  <c r="A57" i="11"/>
  <c r="A58" i="11" a="1"/>
  <c r="A58" i="11"/>
  <c r="A59" i="11" a="1"/>
  <c r="A59" i="11"/>
  <c r="A60" i="11" a="1"/>
  <c r="A60" i="11"/>
  <c r="A61" i="11" a="1"/>
  <c r="A61" i="11"/>
  <c r="A62" i="11" a="1"/>
  <c r="A62" i="11"/>
  <c r="A63" i="11" a="1"/>
  <c r="A63" i="11"/>
  <c r="A64" i="11" a="1"/>
  <c r="A64" i="11"/>
  <c r="A65" i="11" a="1"/>
  <c r="A65" i="11"/>
  <c r="A66" i="11" a="1"/>
  <c r="A66" i="11"/>
  <c r="A67" i="11" a="1"/>
  <c r="A67" i="11"/>
  <c r="A68" i="11" a="1"/>
  <c r="A68" i="11"/>
  <c r="A69" i="11" a="1"/>
  <c r="A69" i="11"/>
  <c r="A70" i="11" a="1"/>
  <c r="A70" i="11"/>
  <c r="A71" i="11" a="1"/>
  <c r="A71" i="11"/>
  <c r="A72" i="11" a="1"/>
  <c r="A72" i="11"/>
  <c r="A73" i="11" a="1"/>
  <c r="A73" i="11"/>
  <c r="A74" i="11" a="1"/>
  <c r="A74" i="11"/>
  <c r="A75" i="11" a="1"/>
  <c r="A75" i="11"/>
  <c r="A76" i="11" a="1"/>
  <c r="A76" i="11"/>
  <c r="A77" i="11" a="1"/>
  <c r="A77" i="11"/>
  <c r="A78" i="11" a="1"/>
  <c r="A78" i="11"/>
  <c r="A79" i="11" a="1"/>
  <c r="A79" i="11"/>
  <c r="A80" i="11" a="1"/>
  <c r="A80" i="11"/>
  <c r="A81" i="11" a="1"/>
  <c r="A81" i="11"/>
  <c r="A82" i="11" a="1"/>
  <c r="A82" i="11"/>
  <c r="A83" i="11" a="1"/>
  <c r="A83" i="11"/>
  <c r="A84" i="11" a="1"/>
  <c r="A84" i="11"/>
  <c r="A85" i="11" a="1"/>
  <c r="A85" i="11"/>
  <c r="A86" i="11" a="1"/>
  <c r="A86" i="11"/>
  <c r="A87" i="11" a="1"/>
  <c r="A87" i="11"/>
  <c r="A88" i="11" a="1"/>
  <c r="A88" i="11"/>
  <c r="A89" i="11" a="1"/>
  <c r="A89" i="11"/>
  <c r="A90" i="11" a="1"/>
  <c r="A90" i="11"/>
  <c r="A91" i="11" a="1"/>
  <c r="A91" i="11"/>
  <c r="A92" i="11" a="1"/>
  <c r="A92" i="11"/>
  <c r="A93" i="11" a="1"/>
  <c r="A93" i="11"/>
  <c r="A94" i="11" a="1"/>
  <c r="A94" i="11"/>
  <c r="A95" i="11" a="1"/>
  <c r="A95" i="11"/>
  <c r="A96" i="11" a="1"/>
  <c r="A96" i="11"/>
  <c r="A97" i="11" a="1"/>
  <c r="A97" i="11"/>
  <c r="A98" i="11" a="1"/>
  <c r="A98" i="11"/>
  <c r="A99" i="11" a="1"/>
  <c r="A99" i="11"/>
  <c r="A100" i="11" a="1"/>
  <c r="A100" i="11"/>
  <c r="A101" i="11" a="1"/>
  <c r="A101" i="11"/>
  <c r="A102" i="11" a="1"/>
  <c r="A102" i="11"/>
  <c r="A103" i="11" a="1"/>
  <c r="A103" i="11"/>
  <c r="A104" i="11" a="1"/>
  <c r="A104" i="11"/>
  <c r="A105" i="11" a="1"/>
  <c r="A105" i="11"/>
  <c r="A106" i="11" a="1"/>
  <c r="A106" i="11"/>
  <c r="A107" i="11" a="1"/>
  <c r="A107" i="11"/>
  <c r="A108" i="11" a="1"/>
  <c r="A108" i="11"/>
  <c r="A109" i="11" a="1"/>
  <c r="A109" i="11"/>
  <c r="A110" i="11" a="1"/>
  <c r="A110" i="11"/>
  <c r="A111" i="11" a="1"/>
  <c r="A111" i="11"/>
  <c r="A112" i="11" a="1"/>
  <c r="A112" i="11"/>
  <c r="A113" i="11" a="1"/>
  <c r="A113" i="11"/>
  <c r="A114" i="11" a="1"/>
  <c r="A114" i="11"/>
  <c r="A115" i="11" a="1"/>
  <c r="A115" i="11"/>
  <c r="A116" i="11" a="1"/>
  <c r="A116" i="11"/>
  <c r="A117" i="11" a="1"/>
  <c r="A117" i="11"/>
  <c r="A118" i="11" a="1"/>
  <c r="A118" i="11"/>
  <c r="A119" i="11" a="1"/>
  <c r="A119" i="11"/>
  <c r="A120" i="11" a="1"/>
  <c r="A120" i="11"/>
  <c r="A121" i="11" a="1"/>
  <c r="A121" i="11"/>
  <c r="A122" i="11" a="1"/>
  <c r="A122" i="11"/>
  <c r="A123" i="11" a="1"/>
  <c r="A123" i="11"/>
  <c r="A124" i="11" a="1"/>
  <c r="A124" i="11"/>
  <c r="A125" i="11" a="1"/>
  <c r="A125" i="11"/>
  <c r="A126" i="11" a="1"/>
  <c r="A126" i="11"/>
  <c r="A127" i="11" a="1"/>
  <c r="A127" i="11"/>
  <c r="A128" i="11" a="1"/>
  <c r="A128" i="11"/>
  <c r="A129" i="11" a="1"/>
  <c r="A129" i="11"/>
  <c r="A130" i="11" a="1"/>
  <c r="A130" i="11"/>
  <c r="A131" i="11" a="1"/>
  <c r="A131" i="11"/>
  <c r="A132" i="11" a="1"/>
  <c r="A132" i="11"/>
  <c r="A133" i="11" a="1"/>
  <c r="A133" i="11"/>
  <c r="A134" i="11" a="1"/>
  <c r="A134" i="11"/>
  <c r="A135" i="11" a="1"/>
  <c r="A135" i="11"/>
  <c r="A136" i="11" a="1"/>
  <c r="A136" i="11"/>
  <c r="A137" i="11" a="1"/>
  <c r="A137" i="11"/>
  <c r="A138" i="11" a="1"/>
  <c r="A138" i="11"/>
  <c r="A139" i="11" a="1"/>
  <c r="A139" i="11"/>
  <c r="A140" i="11" a="1"/>
  <c r="A140" i="11"/>
  <c r="A141" i="11" a="1"/>
  <c r="A141" i="11"/>
  <c r="A142" i="11" a="1"/>
  <c r="A142" i="11"/>
  <c r="A143" i="11" a="1"/>
  <c r="A143" i="11"/>
  <c r="A144" i="11" a="1"/>
  <c r="A144" i="11"/>
  <c r="A145" i="11" a="1"/>
  <c r="A145" i="11"/>
  <c r="A146" i="11" a="1"/>
  <c r="A146" i="11"/>
  <c r="A147" i="11" a="1"/>
  <c r="A147" i="11"/>
  <c r="A148" i="11" a="1"/>
  <c r="A148" i="11"/>
  <c r="A149" i="11" a="1"/>
  <c r="A149" i="11"/>
  <c r="A150" i="11" a="1"/>
  <c r="A150" i="11"/>
  <c r="A151" i="11" a="1"/>
  <c r="A151" i="11"/>
  <c r="A152" i="11" a="1"/>
  <c r="A152" i="11"/>
  <c r="A153" i="11" a="1"/>
  <c r="A153" i="11"/>
  <c r="A154" i="11" a="1"/>
  <c r="A154" i="11"/>
  <c r="A155" i="11" a="1"/>
  <c r="A155" i="11"/>
  <c r="A156" i="11" a="1"/>
  <c r="A156" i="11"/>
  <c r="A157" i="11" a="1"/>
  <c r="A157" i="11"/>
  <c r="A158" i="11" a="1"/>
  <c r="A158" i="11"/>
  <c r="A159" i="11" a="1"/>
  <c r="A159" i="11"/>
  <c r="A160" i="11" a="1"/>
  <c r="A160" i="11"/>
  <c r="A161" i="11" a="1"/>
  <c r="A161" i="11"/>
  <c r="A162" i="11" a="1"/>
  <c r="A162" i="11"/>
  <c r="A163" i="11" a="1"/>
  <c r="A163" i="11"/>
  <c r="A2" i="11" a="1"/>
  <c r="A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<sst xmlns="http://schemas.openxmlformats.org/spreadsheetml/2006/main" count="3382" uniqueCount="1570">
  <si>
    <t>Date</t>
  </si>
  <si>
    <t>Open</t>
  </si>
  <si>
    <t>High</t>
  </si>
  <si>
    <t>Low</t>
  </si>
  <si>
    <t>Price</t>
  </si>
  <si>
    <t>Vol.</t>
  </si>
  <si>
    <t>Change %</t>
  </si>
  <si>
    <t>06/01/2025</t>
  </si>
  <si>
    <t>1.85B</t>
  </si>
  <si>
    <t>05/01/2025</t>
  </si>
  <si>
    <t>1.40B</t>
  </si>
  <si>
    <t>04/01/2025</t>
  </si>
  <si>
    <t>2.42B</t>
  </si>
  <si>
    <t>03/01/2025</t>
  </si>
  <si>
    <t>2.20B</t>
  </si>
  <si>
    <t>02/01/2025</t>
  </si>
  <si>
    <t>2.31B</t>
  </si>
  <si>
    <t>01/01/2025</t>
  </si>
  <si>
    <t>1.47B</t>
  </si>
  <si>
    <t>12/01/2024</t>
  </si>
  <si>
    <t>1.68B</t>
  </si>
  <si>
    <t>11/01/2024</t>
  </si>
  <si>
    <t>1.44B</t>
  </si>
  <si>
    <t>10/01/2024</t>
  </si>
  <si>
    <t>1.27B</t>
  </si>
  <si>
    <t>09/01/2024</t>
  </si>
  <si>
    <t>2.13B</t>
  </si>
  <si>
    <t>08/01/2024</t>
  </si>
  <si>
    <t>2.01B</t>
  </si>
  <si>
    <t>07/01/2024</t>
  </si>
  <si>
    <t>1.19B</t>
  </si>
  <si>
    <t>06/01/2024</t>
  </si>
  <si>
    <t>753.49M</t>
  </si>
  <si>
    <t>05/01/2024</t>
  </si>
  <si>
    <t>1.02B</t>
  </si>
  <si>
    <t>04/01/2024</t>
  </si>
  <si>
    <t>1.26B</t>
  </si>
  <si>
    <t>03/01/2024</t>
  </si>
  <si>
    <t>949.24M</t>
  </si>
  <si>
    <t>02/01/2024</t>
  </si>
  <si>
    <t>815.86M</t>
  </si>
  <si>
    <t>01/01/2024</t>
  </si>
  <si>
    <t>1.00B</t>
  </si>
  <si>
    <t>12/01/2023</t>
  </si>
  <si>
    <t>829.55M</t>
  </si>
  <si>
    <t>11/01/2023</t>
  </si>
  <si>
    <t>807.97M</t>
  </si>
  <si>
    <t>10/01/2023</t>
  </si>
  <si>
    <t>795.49M</t>
  </si>
  <si>
    <t>09/01/2023</t>
  </si>
  <si>
    <t>841.42M</t>
  </si>
  <si>
    <t>08/01/2023</t>
  </si>
  <si>
    <t>716.17M</t>
  </si>
  <si>
    <t>07/01/2023</t>
  </si>
  <si>
    <t>791.86M</t>
  </si>
  <si>
    <t>06/01/2023</t>
  </si>
  <si>
    <t>1.07B</t>
  </si>
  <si>
    <t>05/01/2023</t>
  </si>
  <si>
    <t>968.07M</t>
  </si>
  <si>
    <t>04/01/2023</t>
  </si>
  <si>
    <t>728.91M</t>
  </si>
  <si>
    <t>03/01/2023</t>
  </si>
  <si>
    <t>02/01/2023</t>
  </si>
  <si>
    <t>880.35M</t>
  </si>
  <si>
    <t>01/01/2023</t>
  </si>
  <si>
    <t>840.84M</t>
  </si>
  <si>
    <t>12/01/2022</t>
  </si>
  <si>
    <t>758.55M</t>
  </si>
  <si>
    <t>11/01/2022</t>
  </si>
  <si>
    <t>788.94M</t>
  </si>
  <si>
    <t>10/01/2022</t>
  </si>
  <si>
    <t>981.09M</t>
  </si>
  <si>
    <t>09/01/2022</t>
  </si>
  <si>
    <t>889.09M</t>
  </si>
  <si>
    <t>08/01/2022</t>
  </si>
  <si>
    <t>899.78M</t>
  </si>
  <si>
    <t>07/01/2022</t>
  </si>
  <si>
    <t>792.97M</t>
  </si>
  <si>
    <t>06/01/2022</t>
  </si>
  <si>
    <t>783.41M</t>
  </si>
  <si>
    <t>05/01/2022</t>
  </si>
  <si>
    <t>773.24M</t>
  </si>
  <si>
    <t>04/01/2022</t>
  </si>
  <si>
    <t>639.50M</t>
  </si>
  <si>
    <t>03/01/2022</t>
  </si>
  <si>
    <t>849.31M</t>
  </si>
  <si>
    <t>02/01/2022</t>
  </si>
  <si>
    <t>756.83M</t>
  </si>
  <si>
    <t>01/01/2022</t>
  </si>
  <si>
    <t>890.67M</t>
  </si>
  <si>
    <t>12/01/2021</t>
  </si>
  <si>
    <t>714.79M</t>
  </si>
  <si>
    <t>11/01/2021</t>
  </si>
  <si>
    <t>617.09M</t>
  </si>
  <si>
    <t>10/01/2021</t>
  </si>
  <si>
    <t>672.04M</t>
  </si>
  <si>
    <t>09/01/2021</t>
  </si>
  <si>
    <t>413.37M</t>
  </si>
  <si>
    <t>08/01/2021</t>
  </si>
  <si>
    <t>402.38M</t>
  </si>
  <si>
    <t>07/01/2021</t>
  </si>
  <si>
    <t>516.96M</t>
  </si>
  <si>
    <t>06/01/2021</t>
  </si>
  <si>
    <t>511.87M</t>
  </si>
  <si>
    <t>05/01/2021</t>
  </si>
  <si>
    <t>495.39M</t>
  </si>
  <si>
    <t>04/01/2021</t>
  </si>
  <si>
    <t>654.98M</t>
  </si>
  <si>
    <t>03/01/2021</t>
  </si>
  <si>
    <t>770.83M</t>
  </si>
  <si>
    <t>02/01/2021</t>
  </si>
  <si>
    <t>511.35M</t>
  </si>
  <si>
    <t>01/01/2021</t>
  </si>
  <si>
    <t>963.20M</t>
  </si>
  <si>
    <t>12/01/2020</t>
  </si>
  <si>
    <t>883.85M</t>
  </si>
  <si>
    <t>11/01/2020</t>
  </si>
  <si>
    <t>676.18M</t>
  </si>
  <si>
    <t>10/01/2020</t>
  </si>
  <si>
    <t>738.47M</t>
  </si>
  <si>
    <t>09/01/2020</t>
  </si>
  <si>
    <t>680.63M</t>
  </si>
  <si>
    <t>08/01/2020</t>
  </si>
  <si>
    <t>667.08M</t>
  </si>
  <si>
    <t>07/01/2020</t>
  </si>
  <si>
    <t>808.71M</t>
  </si>
  <si>
    <t>06/01/2020</t>
  </si>
  <si>
    <t>570.57M</t>
  </si>
  <si>
    <t>05/01/2020</t>
  </si>
  <si>
    <t>409.29M</t>
  </si>
  <si>
    <t>04/01/2020</t>
  </si>
  <si>
    <t>617.70M</t>
  </si>
  <si>
    <t>03/01/2020</t>
  </si>
  <si>
    <t>961.07M</t>
  </si>
  <si>
    <t>02/01/2020</t>
  </si>
  <si>
    <t>441.56M</t>
  </si>
  <si>
    <t>01/01/2020</t>
  </si>
  <si>
    <t>533.98M</t>
  </si>
  <si>
    <t>12/01/2019</t>
  </si>
  <si>
    <t>420.76M</t>
  </si>
  <si>
    <t>11/01/2019</t>
  </si>
  <si>
    <t>319.93M</t>
  </si>
  <si>
    <t>10/01/2019</t>
  </si>
  <si>
    <t>448.76M</t>
  </si>
  <si>
    <t>09/01/2019</t>
  </si>
  <si>
    <t>394.45M</t>
  </si>
  <si>
    <t>08/01/2019</t>
  </si>
  <si>
    <t>532.54M</t>
  </si>
  <si>
    <t>07/01/2019</t>
  </si>
  <si>
    <t>431.13M</t>
  </si>
  <si>
    <t>06/01/2019</t>
  </si>
  <si>
    <t>416.05M</t>
  </si>
  <si>
    <t>05/01/2019</t>
  </si>
  <si>
    <t>637.86M</t>
  </si>
  <si>
    <t>04/01/2019</t>
  </si>
  <si>
    <t>472.43M</t>
  </si>
  <si>
    <t>03/01/2019</t>
  </si>
  <si>
    <t>435.00M</t>
  </si>
  <si>
    <t>02/01/2019</t>
  </si>
  <si>
    <t>410.24M</t>
  </si>
  <si>
    <t>01/01/2019</t>
  </si>
  <si>
    <t>620.39M</t>
  </si>
  <si>
    <t>12/01/2018</t>
  </si>
  <si>
    <t>565.24M</t>
  </si>
  <si>
    <t>11/01/2018</t>
  </si>
  <si>
    <t>552.79M</t>
  </si>
  <si>
    <t>10/01/2018</t>
  </si>
  <si>
    <t>782.23M</t>
  </si>
  <si>
    <t>09/01/2018</t>
  </si>
  <si>
    <t>462.76M</t>
  </si>
  <si>
    <t>08/01/2018</t>
  </si>
  <si>
    <t>516.98M</t>
  </si>
  <si>
    <t>07/01/2018</t>
  </si>
  <si>
    <t>479.35M</t>
  </si>
  <si>
    <t>06/01/2018</t>
  </si>
  <si>
    <t>638.34M</t>
  </si>
  <si>
    <t>05/01/2018</t>
  </si>
  <si>
    <t>486.32M</t>
  </si>
  <si>
    <t>04/01/2018</t>
  </si>
  <si>
    <t>666.83M</t>
  </si>
  <si>
    <t>03/01/2018</t>
  </si>
  <si>
    <t>710.90M</t>
  </si>
  <si>
    <t>02/01/2018</t>
  </si>
  <si>
    <t>608.49M</t>
  </si>
  <si>
    <t>01/01/2018</t>
  </si>
  <si>
    <t>910.04M</t>
  </si>
  <si>
    <t>12/01/2017</t>
  </si>
  <si>
    <t>559.76M</t>
  </si>
  <si>
    <t>11/01/2017</t>
  </si>
  <si>
    <t>579.91M</t>
  </si>
  <si>
    <t>10/01/2017</t>
  </si>
  <si>
    <t>633.39M</t>
  </si>
  <si>
    <t>09/01/2017</t>
  </si>
  <si>
    <t>432.48M</t>
  </si>
  <si>
    <t>08/01/2017</t>
  </si>
  <si>
    <t>497.30M</t>
  </si>
  <si>
    <t>07/01/2017</t>
  </si>
  <si>
    <t>440.86M</t>
  </si>
  <si>
    <t>06/01/2017</t>
  </si>
  <si>
    <t>499.46M</t>
  </si>
  <si>
    <t>05/01/2017</t>
  </si>
  <si>
    <t>433.15M</t>
  </si>
  <si>
    <t>04/01/2017</t>
  </si>
  <si>
    <t>444.12M</t>
  </si>
  <si>
    <t>03/01/2017</t>
  </si>
  <si>
    <t>546.15M</t>
  </si>
  <si>
    <t>02/01/2017</t>
  </si>
  <si>
    <t>477.55M</t>
  </si>
  <si>
    <t>01/01/2017</t>
  </si>
  <si>
    <t>456.42M</t>
  </si>
  <si>
    <t>12/01/2016</t>
  </si>
  <si>
    <t>405.91M</t>
  </si>
  <si>
    <t>11/01/2016</t>
  </si>
  <si>
    <t>412.45M</t>
  </si>
  <si>
    <t>10/01/2016</t>
  </si>
  <si>
    <t>471.65M</t>
  </si>
  <si>
    <t>09/01/2016</t>
  </si>
  <si>
    <t>506.50M</t>
  </si>
  <si>
    <t>08/01/2016</t>
  </si>
  <si>
    <t>390.89M</t>
  </si>
  <si>
    <t>07/01/2016</t>
  </si>
  <si>
    <t>530.53M</t>
  </si>
  <si>
    <t>06/01/2016</t>
  </si>
  <si>
    <t>485.38M</t>
  </si>
  <si>
    <t>05/01/2016</t>
  </si>
  <si>
    <t>431.59M</t>
  </si>
  <si>
    <t>04/01/2016</t>
  </si>
  <si>
    <t>515.84M</t>
  </si>
  <si>
    <t>03/01/2016</t>
  </si>
  <si>
    <t>471.98M</t>
  </si>
  <si>
    <t>02/01/2016</t>
  </si>
  <si>
    <t>526.51M</t>
  </si>
  <si>
    <t>01/01/2016</t>
  </si>
  <si>
    <t>615.46M</t>
  </si>
  <si>
    <t>12/01/2015</t>
  </si>
  <si>
    <t>427.84M</t>
  </si>
  <si>
    <t>11/01/2015</t>
  </si>
  <si>
    <t>459.87M</t>
  </si>
  <si>
    <t>10/01/2015</t>
  </si>
  <si>
    <t>704.01M</t>
  </si>
  <si>
    <t>09/01/2015</t>
  </si>
  <si>
    <t>680.89M</t>
  </si>
  <si>
    <t>08/01/2015</t>
  </si>
  <si>
    <t>706.46M</t>
  </si>
  <si>
    <t>07/01/2015</t>
  </si>
  <si>
    <t>829.69M</t>
  </si>
  <si>
    <t>06/01/2015</t>
  </si>
  <si>
    <t>701.95M</t>
  </si>
  <si>
    <t>05/01/2015</t>
  </si>
  <si>
    <t>498.67M</t>
  </si>
  <si>
    <t>04/01/2015</t>
  </si>
  <si>
    <t>568.14M</t>
  </si>
  <si>
    <t>03/01/2015</t>
  </si>
  <si>
    <t>910.69M</t>
  </si>
  <si>
    <t>02/01/2015</t>
  </si>
  <si>
    <t>456.58M</t>
  </si>
  <si>
    <t>01/01/2015</t>
  </si>
  <si>
    <t>689.89M</t>
  </si>
  <si>
    <t>12/01/2014</t>
  </si>
  <si>
    <t>600.09M</t>
  </si>
  <si>
    <t>11/01/2014</t>
  </si>
  <si>
    <t>562.63M</t>
  </si>
  <si>
    <t>10/01/2014</t>
  </si>
  <si>
    <t>894.74M</t>
  </si>
  <si>
    <t>09/01/2014</t>
  </si>
  <si>
    <t>558.14M</t>
  </si>
  <si>
    <t>08/01/2014</t>
  </si>
  <si>
    <t>593.37M</t>
  </si>
  <si>
    <t>07/01/2014</t>
  </si>
  <si>
    <t>835.89M</t>
  </si>
  <si>
    <t>06/01/2014</t>
  </si>
  <si>
    <t>761.38M</t>
  </si>
  <si>
    <t>05/01/2014</t>
  </si>
  <si>
    <t>491.95M</t>
  </si>
  <si>
    <t>04/01/2014</t>
  </si>
  <si>
    <t>735.64M</t>
  </si>
  <si>
    <t>03/01/2014</t>
  </si>
  <si>
    <t>587.40M</t>
  </si>
  <si>
    <t>02/01/2014</t>
  </si>
  <si>
    <t>511.51M</t>
  </si>
  <si>
    <t>01/01/2014</t>
  </si>
  <si>
    <t>839.53M</t>
  </si>
  <si>
    <t>12/01/2013</t>
  </si>
  <si>
    <t>614.58M</t>
  </si>
  <si>
    <t>11/01/2013</t>
  </si>
  <si>
    <t>591.61M</t>
  </si>
  <si>
    <t>10/01/2013</t>
  </si>
  <si>
    <t>798.01M</t>
  </si>
  <si>
    <t>09/01/2013</t>
  </si>
  <si>
    <t>645.76M</t>
  </si>
  <si>
    <t>08/01/2013</t>
  </si>
  <si>
    <t>649.03M</t>
  </si>
  <si>
    <t>07/01/2013</t>
  </si>
  <si>
    <t>06/01/2013</t>
  </si>
  <si>
    <t>870.66M</t>
  </si>
  <si>
    <t>05/01/2013</t>
  </si>
  <si>
    <t>740.12M</t>
  </si>
  <si>
    <t>04/01/2013</t>
  </si>
  <si>
    <t>1.25B</t>
  </si>
  <si>
    <t>03/01/2013</t>
  </si>
  <si>
    <t>755.88M</t>
  </si>
  <si>
    <t>02/01/2013</t>
  </si>
  <si>
    <t>702.52M</t>
  </si>
  <si>
    <t>01/01/2013</t>
  </si>
  <si>
    <t>1.22B</t>
  </si>
  <si>
    <t>12/01/2012</t>
  </si>
  <si>
    <t>805.74M</t>
  </si>
  <si>
    <t>11/01/2012</t>
  </si>
  <si>
    <t>1.16B</t>
  </si>
  <si>
    <t>10/01/2012</t>
  </si>
  <si>
    <t>1.12B</t>
  </si>
  <si>
    <t>09/01/2012</t>
  </si>
  <si>
    <t>933.30M</t>
  </si>
  <si>
    <t>08/01/2012</t>
  </si>
  <si>
    <t>753.76M</t>
  </si>
  <si>
    <t>07/01/2012</t>
  </si>
  <si>
    <t>767.82M</t>
  </si>
  <si>
    <t>06/01/2012</t>
  </si>
  <si>
    <t>789.56M</t>
  </si>
  <si>
    <t>1.10B</t>
  </si>
  <si>
    <t>1.20B</t>
  </si>
  <si>
    <t>1.61B</t>
  </si>
  <si>
    <t>862.32M</t>
  </si>
  <si>
    <t>977.94M</t>
  </si>
  <si>
    <t>891.64M</t>
  </si>
  <si>
    <t>930.84M</t>
  </si>
  <si>
    <t>1.23B</t>
  </si>
  <si>
    <t>1.15B</t>
  </si>
  <si>
    <t>1.72B</t>
  </si>
  <si>
    <t>1.34B</t>
  </si>
  <si>
    <t>1.43B</t>
  </si>
  <si>
    <t>1.06B</t>
  </si>
  <si>
    <t>1.17B</t>
  </si>
  <si>
    <t>1.32B</t>
  </si>
  <si>
    <t>996.37M</t>
  </si>
  <si>
    <t>1.30B</t>
  </si>
  <si>
    <t>1.28B</t>
  </si>
  <si>
    <t>969.78M</t>
  </si>
  <si>
    <t>1.52B</t>
  </si>
  <si>
    <t>1.31B</t>
  </si>
  <si>
    <t>1.87B</t>
  </si>
  <si>
    <t>2.08B</t>
  </si>
  <si>
    <t>1.51B</t>
  </si>
  <si>
    <t>1.45B</t>
  </si>
  <si>
    <t>1.75B</t>
  </si>
  <si>
    <t>2.40B</t>
  </si>
  <si>
    <t>1.69B</t>
  </si>
  <si>
    <t>2.18B</t>
  </si>
  <si>
    <t>1.63B</t>
  </si>
  <si>
    <t>2.11B</t>
  </si>
  <si>
    <t>2.45B</t>
  </si>
  <si>
    <t>1.57B</t>
  </si>
  <si>
    <t>1.80B</t>
  </si>
  <si>
    <t>1.46B</t>
  </si>
  <si>
    <t>1.92B</t>
  </si>
  <si>
    <t>1.71B</t>
  </si>
  <si>
    <t>1.89B</t>
  </si>
  <si>
    <t>2.65B</t>
  </si>
  <si>
    <t>1.83B</t>
  </si>
  <si>
    <t>2.24B</t>
  </si>
  <si>
    <t>2.32B</t>
  </si>
  <si>
    <t>2.12B</t>
  </si>
  <si>
    <t>2.90B</t>
  </si>
  <si>
    <t>3.89B</t>
  </si>
  <si>
    <t>4.07B</t>
  </si>
  <si>
    <t>3.02B</t>
  </si>
  <si>
    <t>3.24B</t>
  </si>
  <si>
    <t>2.81B</t>
  </si>
  <si>
    <t>3.27B</t>
  </si>
  <si>
    <t>6.28B</t>
  </si>
  <si>
    <t>2.94B</t>
  </si>
  <si>
    <t>2.49B</t>
  </si>
  <si>
    <t>2.19B</t>
  </si>
  <si>
    <t>2.73B</t>
  </si>
  <si>
    <t>1.90B</t>
  </si>
  <si>
    <t>2.06B</t>
  </si>
  <si>
    <t>2.96B</t>
  </si>
  <si>
    <t>2.02B</t>
  </si>
  <si>
    <t>2.60B</t>
  </si>
  <si>
    <t>3.31B</t>
  </si>
  <si>
    <t>3.60B</t>
  </si>
  <si>
    <t>3.85B</t>
  </si>
  <si>
    <t>3.16B</t>
  </si>
  <si>
    <t>2.72B</t>
  </si>
  <si>
    <t>2.80B</t>
  </si>
  <si>
    <t>1.58B</t>
  </si>
  <si>
    <t>2.48B</t>
  </si>
  <si>
    <t>2.67B</t>
  </si>
  <si>
    <t>2.85B</t>
  </si>
  <si>
    <t>3.71B</t>
  </si>
  <si>
    <t>2.64B</t>
  </si>
  <si>
    <t>2.74B</t>
  </si>
  <si>
    <t>2.62B</t>
  </si>
  <si>
    <t>1.49B</t>
  </si>
  <si>
    <t>2.25B</t>
  </si>
  <si>
    <t>2.30B</t>
  </si>
  <si>
    <t>2.44B</t>
  </si>
  <si>
    <t>2.89B</t>
  </si>
  <si>
    <t>2.75B</t>
  </si>
  <si>
    <t>3.88B</t>
  </si>
  <si>
    <t>2.52B</t>
  </si>
  <si>
    <t>3.12B</t>
  </si>
  <si>
    <t>3.49B</t>
  </si>
  <si>
    <t>2.98B</t>
  </si>
  <si>
    <t>5.09B</t>
  </si>
  <si>
    <t>3.69B</t>
  </si>
  <si>
    <t>3.00B</t>
  </si>
  <si>
    <t>4.45B</t>
  </si>
  <si>
    <t>4.83B</t>
  </si>
  <si>
    <t>6.43B</t>
  </si>
  <si>
    <t>4.23B</t>
  </si>
  <si>
    <t>3.51B</t>
  </si>
  <si>
    <t>3.82B</t>
  </si>
  <si>
    <t>3.98B</t>
  </si>
  <si>
    <t>4.55B</t>
  </si>
  <si>
    <t>5.22B</t>
  </si>
  <si>
    <t>4.30B</t>
  </si>
  <si>
    <t>3.28B</t>
  </si>
  <si>
    <t>5.44B</t>
  </si>
  <si>
    <t>6.11B</t>
  </si>
  <si>
    <t>3.75B</t>
  </si>
  <si>
    <t>4.14B</t>
  </si>
  <si>
    <t>5.74B</t>
  </si>
  <si>
    <t>6.44B</t>
  </si>
  <si>
    <t>5.01B</t>
  </si>
  <si>
    <t>5.89B</t>
  </si>
  <si>
    <t>8.81B</t>
  </si>
  <si>
    <t>7.06B</t>
  </si>
  <si>
    <t>5.23B</t>
  </si>
  <si>
    <t>7.84B</t>
  </si>
  <si>
    <t>8.64B</t>
  </si>
  <si>
    <t>8.06B</t>
  </si>
  <si>
    <t>6.54B</t>
  </si>
  <si>
    <t>7.02B</t>
  </si>
  <si>
    <t>9.45B</t>
  </si>
  <si>
    <t>10.97B</t>
  </si>
  <si>
    <t>9.18B</t>
  </si>
  <si>
    <t>9.34B</t>
  </si>
  <si>
    <t>13.12B</t>
  </si>
  <si>
    <t>12.14B</t>
  </si>
  <si>
    <t>12.93B</t>
  </si>
  <si>
    <t>9.20B</t>
  </si>
  <si>
    <t>8.28B</t>
  </si>
  <si>
    <t>8.91B</t>
  </si>
  <si>
    <t>7.86B</t>
  </si>
  <si>
    <t>11.11B</t>
  </si>
  <si>
    <t>401.28M</t>
  </si>
  <si>
    <t>476.96M</t>
  </si>
  <si>
    <t>563.14M</t>
  </si>
  <si>
    <t>491.81M</t>
  </si>
  <si>
    <t>432.47M</t>
  </si>
  <si>
    <t>462.56M</t>
  </si>
  <si>
    <t>439.91M</t>
  </si>
  <si>
    <t>442.32M</t>
  </si>
  <si>
    <t>440.77M</t>
  </si>
  <si>
    <t>376.97M</t>
  </si>
  <si>
    <t>451.92M</t>
  </si>
  <si>
    <t>440.45M</t>
  </si>
  <si>
    <t>342.37M</t>
  </si>
  <si>
    <t>413.81M</t>
  </si>
  <si>
    <t>441.10M</t>
  </si>
  <si>
    <t>426.45M</t>
  </si>
  <si>
    <t>444.20M</t>
  </si>
  <si>
    <t>528.49M</t>
  </si>
  <si>
    <t>522.08M</t>
  </si>
  <si>
    <t>564.17M</t>
  </si>
  <si>
    <t>540.96M</t>
  </si>
  <si>
    <t>416.77M</t>
  </si>
  <si>
    <t>479.67M</t>
  </si>
  <si>
    <t>666.96M</t>
  </si>
  <si>
    <t>547.75M</t>
  </si>
  <si>
    <t>600.86M</t>
  </si>
  <si>
    <t>551.52M</t>
  </si>
  <si>
    <t>747.75M</t>
  </si>
  <si>
    <t>615.54M</t>
  </si>
  <si>
    <t>666.17M</t>
  </si>
  <si>
    <t>591.37M</t>
  </si>
  <si>
    <t>615.33M</t>
  </si>
  <si>
    <t>671.37M</t>
  </si>
  <si>
    <t>575.60M</t>
  </si>
  <si>
    <t>477.18M</t>
  </si>
  <si>
    <t>534.99M</t>
  </si>
  <si>
    <t>621.50M</t>
  </si>
  <si>
    <t>742.90M</t>
  </si>
  <si>
    <t>627.39M</t>
  </si>
  <si>
    <t>734.35M</t>
  </si>
  <si>
    <t>697.37M</t>
  </si>
  <si>
    <t>947.99M</t>
  </si>
  <si>
    <t>625.97M</t>
  </si>
  <si>
    <t>509.89M</t>
  </si>
  <si>
    <t>516.52M</t>
  </si>
  <si>
    <t>502.93M</t>
  </si>
  <si>
    <t>441.33M</t>
  </si>
  <si>
    <t>522.69M</t>
  </si>
  <si>
    <t>508.57M</t>
  </si>
  <si>
    <t>495.09M</t>
  </si>
  <si>
    <t>568.70M</t>
  </si>
  <si>
    <t>724.98M</t>
  </si>
  <si>
    <t>490.98M</t>
  </si>
  <si>
    <t>648.00M</t>
  </si>
  <si>
    <t>594.57M</t>
  </si>
  <si>
    <t>573.47M</t>
  </si>
  <si>
    <t>631.67M</t>
  </si>
  <si>
    <t>768.53M</t>
  </si>
  <si>
    <t>692.50M</t>
  </si>
  <si>
    <t>770.51M</t>
  </si>
  <si>
    <t>765.01M</t>
  </si>
  <si>
    <t>688.96M</t>
  </si>
  <si>
    <t>984.81M</t>
  </si>
  <si>
    <t>887.89M</t>
  </si>
  <si>
    <t>559.25M</t>
  </si>
  <si>
    <t>452.66M</t>
  </si>
  <si>
    <t>393.03M</t>
  </si>
  <si>
    <t>563.29M</t>
  </si>
  <si>
    <t>477.65M</t>
  </si>
  <si>
    <t>585.58M</t>
  </si>
  <si>
    <t>484.55M</t>
  </si>
  <si>
    <t>508.32M</t>
  </si>
  <si>
    <t>547.22M</t>
  </si>
  <si>
    <t>433.16M</t>
  </si>
  <si>
    <t>589.05M</t>
  </si>
  <si>
    <t>469.10M</t>
  </si>
  <si>
    <t>714.20M</t>
  </si>
  <si>
    <t>944.29M</t>
  </si>
  <si>
    <t>720.23M</t>
  </si>
  <si>
    <t>927.55M</t>
  </si>
  <si>
    <t>480.26M</t>
  </si>
  <si>
    <t>456.63M</t>
  </si>
  <si>
    <t>569.50M</t>
  </si>
  <si>
    <t>602.59M</t>
  </si>
  <si>
    <t>509.42M</t>
  </si>
  <si>
    <t>668.26M</t>
  </si>
  <si>
    <t>750.75M</t>
  </si>
  <si>
    <t>725.66M</t>
  </si>
  <si>
    <t>574.26M</t>
  </si>
  <si>
    <t>466.20M</t>
  </si>
  <si>
    <t>421.93M</t>
  </si>
  <si>
    <t>449.95M</t>
  </si>
  <si>
    <t>376.67M</t>
  </si>
  <si>
    <t>442.76M</t>
  </si>
  <si>
    <t>469.85M</t>
  </si>
  <si>
    <t>629.72M</t>
  </si>
  <si>
    <t>517.29M</t>
  </si>
  <si>
    <t>433.19M</t>
  </si>
  <si>
    <t>489.17M</t>
  </si>
  <si>
    <t>440.74M</t>
  </si>
  <si>
    <t>494.44M</t>
  </si>
  <si>
    <t>513.58M</t>
  </si>
  <si>
    <t>613.06M</t>
  </si>
  <si>
    <t>614.84M</t>
  </si>
  <si>
    <t>526.86M</t>
  </si>
  <si>
    <t>467.08M</t>
  </si>
  <si>
    <t>647.59M</t>
  </si>
  <si>
    <t>823.99M</t>
  </si>
  <si>
    <t>530.87M</t>
  </si>
  <si>
    <t>699.03M</t>
  </si>
  <si>
    <t>641.13M</t>
  </si>
  <si>
    <t>814.77M</t>
  </si>
  <si>
    <t>927.91M</t>
  </si>
  <si>
    <t>793.07M</t>
  </si>
  <si>
    <t>662.63M</t>
  </si>
  <si>
    <t>857.33M</t>
  </si>
  <si>
    <t>673.08M</t>
  </si>
  <si>
    <t>776.50M</t>
  </si>
  <si>
    <t>725.46M</t>
  </si>
  <si>
    <t>664.85M</t>
  </si>
  <si>
    <t>633.07M</t>
  </si>
  <si>
    <t>874.54M</t>
  </si>
  <si>
    <t>824.34M</t>
  </si>
  <si>
    <t>656.51M</t>
  </si>
  <si>
    <t>918.97M</t>
  </si>
  <si>
    <t>626.81M</t>
  </si>
  <si>
    <t>523.01M</t>
  </si>
  <si>
    <t>853.30M</t>
  </si>
  <si>
    <t>860.84M</t>
  </si>
  <si>
    <t>513.93M</t>
  </si>
  <si>
    <t>731.66M</t>
  </si>
  <si>
    <t>555.81M</t>
  </si>
  <si>
    <t>574.40M</t>
  </si>
  <si>
    <t>746.15M</t>
  </si>
  <si>
    <t>778.55M</t>
  </si>
  <si>
    <t>718.23M</t>
  </si>
  <si>
    <t>932.09M</t>
  </si>
  <si>
    <t>826.64M</t>
  </si>
  <si>
    <t>800.46M</t>
  </si>
  <si>
    <t>965.36M</t>
  </si>
  <si>
    <t>1.05B</t>
  </si>
  <si>
    <t>1.11B</t>
  </si>
  <si>
    <t>945.22M</t>
  </si>
  <si>
    <t>845.03M</t>
  </si>
  <si>
    <t>780.65M</t>
  </si>
  <si>
    <t>947.41M</t>
  </si>
  <si>
    <t>893.17M</t>
  </si>
  <si>
    <t>671.80M</t>
  </si>
  <si>
    <t>846.66M</t>
  </si>
  <si>
    <t>973.17M</t>
  </si>
  <si>
    <t>1.01B</t>
  </si>
  <si>
    <t>847.45M</t>
  </si>
  <si>
    <t>942.81M</t>
  </si>
  <si>
    <t>842.65M</t>
  </si>
  <si>
    <t>732.19M</t>
  </si>
  <si>
    <t>629.46M</t>
  </si>
  <si>
    <t>500.38M</t>
  </si>
  <si>
    <t>645.62M</t>
  </si>
  <si>
    <t>529.99M</t>
  </si>
  <si>
    <t>569.36M</t>
  </si>
  <si>
    <t>532.68M</t>
  </si>
  <si>
    <t>550.74M</t>
  </si>
  <si>
    <t>526.15M</t>
  </si>
  <si>
    <t>461.09M</t>
  </si>
  <si>
    <t>542.41M</t>
  </si>
  <si>
    <t>659.88M</t>
  </si>
  <si>
    <t>672.72M</t>
  </si>
  <si>
    <t>647.51M</t>
  </si>
  <si>
    <t>581.87M</t>
  </si>
  <si>
    <t>620.00M</t>
  </si>
  <si>
    <t>535.34M</t>
  </si>
  <si>
    <t>680.76M</t>
  </si>
  <si>
    <t>477.63M</t>
  </si>
  <si>
    <t>593.52M</t>
  </si>
  <si>
    <t>707.11M</t>
  </si>
  <si>
    <t>656.88M</t>
  </si>
  <si>
    <t>820.61M</t>
  </si>
  <si>
    <t>604.11M</t>
  </si>
  <si>
    <t>860.05M</t>
  </si>
  <si>
    <t>952.71M</t>
  </si>
  <si>
    <t>672.90M</t>
  </si>
  <si>
    <t>602.72M</t>
  </si>
  <si>
    <t>716.54M</t>
  </si>
  <si>
    <t>681.65M</t>
  </si>
  <si>
    <t>613.29M</t>
  </si>
  <si>
    <t>515.88M</t>
  </si>
  <si>
    <t>789.63M</t>
  </si>
  <si>
    <t>770.87M</t>
  </si>
  <si>
    <t>850.45M</t>
  </si>
  <si>
    <t>761.18M</t>
  </si>
  <si>
    <t>729.20M</t>
  </si>
  <si>
    <t>928.15M</t>
  </si>
  <si>
    <t>767.40M</t>
  </si>
  <si>
    <t>620.40M</t>
  </si>
  <si>
    <t>608.46M</t>
  </si>
  <si>
    <t>720.80M</t>
  </si>
  <si>
    <t>590.91M</t>
  </si>
  <si>
    <t>461.62M</t>
  </si>
  <si>
    <t>610.84M</t>
  </si>
  <si>
    <t>544.96M</t>
  </si>
  <si>
    <t>603.50M</t>
  </si>
  <si>
    <t>702.40M</t>
  </si>
  <si>
    <t>756.76M</t>
  </si>
  <si>
    <t>678.36M</t>
  </si>
  <si>
    <t>791.71M</t>
  </si>
  <si>
    <t>608.67M</t>
  </si>
  <si>
    <t>632.00M</t>
  </si>
  <si>
    <t>855.06M</t>
  </si>
  <si>
    <t>836.69M</t>
  </si>
  <si>
    <t>614.67M</t>
  </si>
  <si>
    <t>823.14M</t>
  </si>
  <si>
    <t>814.32M</t>
  </si>
  <si>
    <t>725.27M</t>
  </si>
  <si>
    <t>831.30M</t>
  </si>
  <si>
    <t>674.01M</t>
  </si>
  <si>
    <t>565.60M</t>
  </si>
  <si>
    <t>527.19M</t>
  </si>
  <si>
    <t>622.54M</t>
  </si>
  <si>
    <t>525.49M</t>
  </si>
  <si>
    <t>587.06M</t>
  </si>
  <si>
    <t>715.27M</t>
  </si>
  <si>
    <t>712.48M</t>
  </si>
  <si>
    <t>742.74M</t>
  </si>
  <si>
    <t>647.50M</t>
  </si>
  <si>
    <t>663.72M</t>
  </si>
  <si>
    <t>652.20M</t>
  </si>
  <si>
    <t>697.20M</t>
  </si>
  <si>
    <t>857.40M</t>
  </si>
  <si>
    <t>786.27M</t>
  </si>
  <si>
    <t>1.13B</t>
  </si>
  <si>
    <t>718.54M</t>
  </si>
  <si>
    <t>685.97M</t>
  </si>
  <si>
    <t>836.12M</t>
  </si>
  <si>
    <t>803.69M</t>
  </si>
  <si>
    <t>740.73M</t>
  </si>
  <si>
    <t>985.04M</t>
  </si>
  <si>
    <t>1.04B</t>
  </si>
  <si>
    <t>1.03B</t>
  </si>
  <si>
    <t>657.75M</t>
  </si>
  <si>
    <t>598.81M</t>
  </si>
  <si>
    <t>573.75M</t>
  </si>
  <si>
    <t>737.09M</t>
  </si>
  <si>
    <t>592.59M</t>
  </si>
  <si>
    <t>655.52M</t>
  </si>
  <si>
    <t>838.37M</t>
  </si>
  <si>
    <t>881.70M</t>
  </si>
  <si>
    <t>707.40M</t>
  </si>
  <si>
    <t>574.43M</t>
  </si>
  <si>
    <t>691.06M</t>
  </si>
  <si>
    <t>529.84M</t>
  </si>
  <si>
    <t>736.81M</t>
  </si>
  <si>
    <t>687.13M</t>
  </si>
  <si>
    <t>967.07M</t>
  </si>
  <si>
    <t>707.83M</t>
  </si>
  <si>
    <t>631.54M</t>
  </si>
  <si>
    <t>577.14M</t>
  </si>
  <si>
    <t>653.35M</t>
  </si>
  <si>
    <t>839.58M</t>
  </si>
  <si>
    <t>682.16M</t>
  </si>
  <si>
    <t>933.24M</t>
  </si>
  <si>
    <t>853.39M</t>
  </si>
  <si>
    <t>1.35B</t>
  </si>
  <si>
    <t>873.01M</t>
  </si>
  <si>
    <t>751.55M</t>
  </si>
  <si>
    <t>871.53M</t>
  </si>
  <si>
    <t>1.37B</t>
  </si>
  <si>
    <t>704.36M</t>
  </si>
  <si>
    <t>648.44M</t>
  </si>
  <si>
    <t>874.93M</t>
  </si>
  <si>
    <t>864.15M</t>
  </si>
  <si>
    <t>808.41M</t>
  </si>
  <si>
    <t>1.09B</t>
  </si>
  <si>
    <t>595.51M</t>
  </si>
  <si>
    <t>709.29M</t>
  </si>
  <si>
    <t>582.36M</t>
  </si>
  <si>
    <t>772.29M</t>
  </si>
  <si>
    <t>790.26M</t>
  </si>
  <si>
    <t>829.36M</t>
  </si>
  <si>
    <t>874.06M</t>
  </si>
  <si>
    <t>812.86M</t>
  </si>
  <si>
    <t>677.56M</t>
  </si>
  <si>
    <t>525.53M</t>
  </si>
  <si>
    <t>662.94M</t>
  </si>
  <si>
    <t>670.19M</t>
  </si>
  <si>
    <t>972.01M</t>
  </si>
  <si>
    <t>989.06M</t>
  </si>
  <si>
    <t>851.20M</t>
  </si>
  <si>
    <t>927.25M</t>
  </si>
  <si>
    <t>834.17M</t>
  </si>
  <si>
    <t>933.83M</t>
  </si>
  <si>
    <t>941.44M</t>
  </si>
  <si>
    <t>930.38M</t>
  </si>
  <si>
    <t>870.80M</t>
  </si>
  <si>
    <t>937.37M</t>
  </si>
  <si>
    <t>966.86M</t>
  </si>
  <si>
    <t>783.72M</t>
  </si>
  <si>
    <t>652.63M</t>
  </si>
  <si>
    <t>760.92M</t>
  </si>
  <si>
    <t>905.94M</t>
  </si>
  <si>
    <t>734.07M</t>
  </si>
  <si>
    <t>765.13M</t>
  </si>
  <si>
    <t>971.02M</t>
  </si>
  <si>
    <t>868.12M</t>
  </si>
  <si>
    <t>813.28M</t>
  </si>
  <si>
    <t>892.34M</t>
  </si>
  <si>
    <t>917.17M</t>
  </si>
  <si>
    <t>702.06M</t>
  </si>
  <si>
    <t>954.01M</t>
  </si>
  <si>
    <t>931.32M</t>
  </si>
  <si>
    <t>1.21B</t>
  </si>
  <si>
    <t>1.24B</t>
  </si>
  <si>
    <t>1.36B</t>
  </si>
  <si>
    <t>1.55B</t>
  </si>
  <si>
    <t>2.04B</t>
  </si>
  <si>
    <t>1.77B</t>
  </si>
  <si>
    <t>2.26B</t>
  </si>
  <si>
    <t>1.53B</t>
  </si>
  <si>
    <t>1.29B</t>
  </si>
  <si>
    <t>1.67B</t>
  </si>
  <si>
    <t>1.50B</t>
  </si>
  <si>
    <t>1.54B</t>
  </si>
  <si>
    <t>1.56B</t>
  </si>
  <si>
    <t>1.82B</t>
  </si>
  <si>
    <t>2.33B</t>
  </si>
  <si>
    <t>2.55B</t>
  </si>
  <si>
    <t>1.76B</t>
  </si>
  <si>
    <t>1.65B</t>
  </si>
  <si>
    <t>1.70B</t>
  </si>
  <si>
    <t>1.60B</t>
  </si>
  <si>
    <t>1.96B</t>
  </si>
  <si>
    <t>1.62B</t>
  </si>
  <si>
    <t>2.68B</t>
  </si>
  <si>
    <t>3.10B</t>
  </si>
  <si>
    <t>2.79B</t>
  </si>
  <si>
    <t>3.66B</t>
  </si>
  <si>
    <t>1.93B</t>
  </si>
  <si>
    <t>1.95B</t>
  </si>
  <si>
    <t>2.61B</t>
  </si>
  <si>
    <t>2.76B</t>
  </si>
  <si>
    <t>1.41B</t>
  </si>
  <si>
    <t>1.81B</t>
  </si>
  <si>
    <t>1.88B</t>
  </si>
  <si>
    <t>1.94B</t>
  </si>
  <si>
    <t>1.66B</t>
  </si>
  <si>
    <t>1.42B</t>
  </si>
  <si>
    <t>1.74B</t>
  </si>
  <si>
    <t>1.38B</t>
  </si>
  <si>
    <t>2.22B</t>
  </si>
  <si>
    <t>1.99B</t>
  </si>
  <si>
    <t>2.77B</t>
  </si>
  <si>
    <t>1.08B</t>
  </si>
  <si>
    <t>870.10M</t>
  </si>
  <si>
    <t>876.17M</t>
  </si>
  <si>
    <t>1.18B</t>
  </si>
  <si>
    <t>1.86B</t>
  </si>
  <si>
    <t>4.76B</t>
  </si>
  <si>
    <t>6.81B</t>
  </si>
  <si>
    <t>6.18B</t>
  </si>
  <si>
    <t>5.95B</t>
  </si>
  <si>
    <t>4.09B</t>
  </si>
  <si>
    <t>4.50B</t>
  </si>
  <si>
    <t>5.63B</t>
  </si>
  <si>
    <t>6.27B</t>
  </si>
  <si>
    <t>8.11B</t>
  </si>
  <si>
    <t>6.41B</t>
  </si>
  <si>
    <t>7.44B</t>
  </si>
  <si>
    <t>9.65B</t>
  </si>
  <si>
    <t>10.07B</t>
  </si>
  <si>
    <t>12.15B</t>
  </si>
  <si>
    <t>11.08B</t>
  </si>
  <si>
    <t>9.71B</t>
  </si>
  <si>
    <t>7.41B</t>
  </si>
  <si>
    <t>9.15B</t>
  </si>
  <si>
    <t>10.14B</t>
  </si>
  <si>
    <t>8.58B</t>
  </si>
  <si>
    <t>13.64B</t>
  </si>
  <si>
    <t>8.71B</t>
  </si>
  <si>
    <t>10.53B</t>
  </si>
  <si>
    <t>11.70B</t>
  </si>
  <si>
    <t>11.27B</t>
  </si>
  <si>
    <t>10.39B</t>
  </si>
  <si>
    <t>8.95B</t>
  </si>
  <si>
    <t>10.60B</t>
  </si>
  <si>
    <t>12.55B</t>
  </si>
  <si>
    <t>13.13B</t>
  </si>
  <si>
    <t>12.07B</t>
  </si>
  <si>
    <t>10.57B</t>
  </si>
  <si>
    <t>10.56B</t>
  </si>
  <si>
    <t>13.83B</t>
  </si>
  <si>
    <t>11.65B</t>
  </si>
  <si>
    <t>10.65B</t>
  </si>
  <si>
    <t>10.68B</t>
  </si>
  <si>
    <t>11.06B</t>
  </si>
  <si>
    <t>10.81B</t>
  </si>
  <si>
    <t>4.97B</t>
  </si>
  <si>
    <t>5.00B</t>
  </si>
  <si>
    <t>6.42B</t>
  </si>
  <si>
    <t>7.82B</t>
  </si>
  <si>
    <t>10.27B</t>
  </si>
  <si>
    <t>7.05B</t>
  </si>
  <si>
    <t>6.72B</t>
  </si>
  <si>
    <t>7.65B</t>
  </si>
  <si>
    <t>6.68B</t>
  </si>
  <si>
    <t>6.16B</t>
  </si>
  <si>
    <t>5.12B</t>
  </si>
  <si>
    <t>7.60B</t>
  </si>
  <si>
    <t>8.02B</t>
  </si>
  <si>
    <t>15.86B</t>
  </si>
  <si>
    <t>9.67B</t>
  </si>
  <si>
    <t>8.10B</t>
  </si>
  <si>
    <t>9.72B</t>
  </si>
  <si>
    <t>11.28B</t>
  </si>
  <si>
    <t>15.78B</t>
  </si>
  <si>
    <t>11.86B</t>
  </si>
  <si>
    <t>6.13B</t>
  </si>
  <si>
    <t>6.57B</t>
  </si>
  <si>
    <t>7.34B</t>
  </si>
  <si>
    <t>7.81B</t>
  </si>
  <si>
    <t>9.55B</t>
  </si>
  <si>
    <t>8.42B</t>
  </si>
  <si>
    <t>8.23B</t>
  </si>
  <si>
    <t>11.18B</t>
  </si>
  <si>
    <t>9.44B</t>
  </si>
  <si>
    <t>11.45B</t>
  </si>
  <si>
    <t>16.87B</t>
  </si>
  <si>
    <t>12.45B</t>
  </si>
  <si>
    <t>16.16B</t>
  </si>
  <si>
    <t>12.98B</t>
  </si>
  <si>
    <t>6.34B</t>
  </si>
  <si>
    <t>10.92B</t>
  </si>
  <si>
    <t>6.32B</t>
  </si>
  <si>
    <t>8.79B</t>
  </si>
  <si>
    <t>11.98B</t>
  </si>
  <si>
    <t>11.15B</t>
  </si>
  <si>
    <t>14.12B</t>
  </si>
  <si>
    <t>14.92B</t>
  </si>
  <si>
    <t>11.46B</t>
  </si>
  <si>
    <t>10.11B</t>
  </si>
  <si>
    <t>11.83B</t>
  </si>
  <si>
    <t>11.42B</t>
  </si>
  <si>
    <t>14.45B</t>
  </si>
  <si>
    <t>14.73B</t>
  </si>
  <si>
    <t>15.49B</t>
  </si>
  <si>
    <t>23.45B</t>
  </si>
  <si>
    <t>19.21B</t>
  </si>
  <si>
    <t>9.57B</t>
  </si>
  <si>
    <t>14.29B</t>
  </si>
  <si>
    <t>14.21B</t>
  </si>
  <si>
    <t>13.40B</t>
  </si>
  <si>
    <t>18.08B</t>
  </si>
  <si>
    <t>12.77B</t>
  </si>
  <si>
    <t>6.55B</t>
  </si>
  <si>
    <t>8.67B</t>
  </si>
  <si>
    <t>9.31B</t>
  </si>
  <si>
    <t>7.21B</t>
  </si>
  <si>
    <t>8.20B</t>
  </si>
  <si>
    <t>10.37B</t>
  </si>
  <si>
    <t>6.73B</t>
  </si>
  <si>
    <t>6.58B</t>
  </si>
  <si>
    <t>9.00B</t>
  </si>
  <si>
    <t>8.14B</t>
  </si>
  <si>
    <t>7.35B</t>
  </si>
  <si>
    <t>8.05B</t>
  </si>
  <si>
    <t>6.48B</t>
  </si>
  <si>
    <t>9.47B</t>
  </si>
  <si>
    <t>5.48B</t>
  </si>
  <si>
    <t>7.33B</t>
  </si>
  <si>
    <t>7.08B</t>
  </si>
  <si>
    <t>5.67B</t>
  </si>
  <si>
    <t>7.31B</t>
  </si>
  <si>
    <t>4.19B</t>
  </si>
  <si>
    <t>4.26B</t>
  </si>
  <si>
    <t>4.64B</t>
  </si>
  <si>
    <t>6.61B</t>
  </si>
  <si>
    <t>5.51B</t>
  </si>
  <si>
    <t>6.08B</t>
  </si>
  <si>
    <t>5.28B</t>
  </si>
  <si>
    <t>5.61B</t>
  </si>
  <si>
    <t>6.94B</t>
  </si>
  <si>
    <t>7.22B</t>
  </si>
  <si>
    <t>7.72B</t>
  </si>
  <si>
    <t>5.42B</t>
  </si>
  <si>
    <t>6.17B</t>
  </si>
  <si>
    <t>6.63B</t>
  </si>
  <si>
    <t>5.77B</t>
  </si>
  <si>
    <t>4.82B</t>
  </si>
  <si>
    <t>9.30B</t>
  </si>
  <si>
    <t>8.29B</t>
  </si>
  <si>
    <t>9.39B</t>
  </si>
  <si>
    <t>9.90B</t>
  </si>
  <si>
    <t>8.04B</t>
  </si>
  <si>
    <t>9.99B</t>
  </si>
  <si>
    <t>8.75B</t>
  </si>
  <si>
    <t>9.92B</t>
  </si>
  <si>
    <t>8.50B</t>
  </si>
  <si>
    <t>11.53B</t>
  </si>
  <si>
    <t>254.79M</t>
  </si>
  <si>
    <t>292.50M</t>
  </si>
  <si>
    <t>451.37M</t>
  </si>
  <si>
    <t>363.47M</t>
  </si>
  <si>
    <t>298.43M</t>
  </si>
  <si>
    <t>317.94M</t>
  </si>
  <si>
    <t>263.23M</t>
  </si>
  <si>
    <t>237.81M</t>
  </si>
  <si>
    <t>265.91M</t>
  </si>
  <si>
    <t>246.45M</t>
  </si>
  <si>
    <t>323.38M</t>
  </si>
  <si>
    <t>324.02M</t>
  </si>
  <si>
    <t>226.95M</t>
  </si>
  <si>
    <t>282.49M</t>
  </si>
  <si>
    <t>437.30M</t>
  </si>
  <si>
    <t>279.21M</t>
  </si>
  <si>
    <t>466.26M</t>
  </si>
  <si>
    <t>346.97M</t>
  </si>
  <si>
    <t>334.63M</t>
  </si>
  <si>
    <t>329.35M</t>
  </si>
  <si>
    <t>511.37M</t>
  </si>
  <si>
    <t>406.80M</t>
  </si>
  <si>
    <t>424.63M</t>
  </si>
  <si>
    <t>625.34M</t>
  </si>
  <si>
    <t>481.18M</t>
  </si>
  <si>
    <t>487.17M</t>
  </si>
  <si>
    <t>446.69M</t>
  </si>
  <si>
    <t>690.45M</t>
  </si>
  <si>
    <t>772.20M</t>
  </si>
  <si>
    <t>548.77M</t>
  </si>
  <si>
    <t>653.02M</t>
  </si>
  <si>
    <t>635.06M</t>
  </si>
  <si>
    <t>551.92M</t>
  </si>
  <si>
    <t>586.55M</t>
  </si>
  <si>
    <t>686.38M</t>
  </si>
  <si>
    <t>680.55M</t>
  </si>
  <si>
    <t>672.30M</t>
  </si>
  <si>
    <t>733.29M</t>
  </si>
  <si>
    <t>427.35M</t>
  </si>
  <si>
    <t>438.30M</t>
  </si>
  <si>
    <t>441.12M</t>
  </si>
  <si>
    <t>588.38M</t>
  </si>
  <si>
    <t>338.13M</t>
  </si>
  <si>
    <t>226.15M</t>
  </si>
  <si>
    <t>335.42M</t>
  </si>
  <si>
    <t>344.81M</t>
  </si>
  <si>
    <t>353.42M</t>
  </si>
  <si>
    <t>421.28M</t>
  </si>
  <si>
    <t>497.46M</t>
  </si>
  <si>
    <t>317.78M</t>
  </si>
  <si>
    <t>452.70M</t>
  </si>
  <si>
    <t>363.96M</t>
  </si>
  <si>
    <t>356.80M</t>
  </si>
  <si>
    <t>454.18M</t>
  </si>
  <si>
    <t>499.18M</t>
  </si>
  <si>
    <t>574.31M</t>
  </si>
  <si>
    <t>517.67M</t>
  </si>
  <si>
    <t>548.04M</t>
  </si>
  <si>
    <t>509.64M</t>
  </si>
  <si>
    <t>541.54M</t>
  </si>
  <si>
    <t>649.51M</t>
  </si>
  <si>
    <t>317.64M</t>
  </si>
  <si>
    <t>348.10M</t>
  </si>
  <si>
    <t>278.23M</t>
  </si>
  <si>
    <t>258.58M</t>
  </si>
  <si>
    <t>330.15M</t>
  </si>
  <si>
    <t>267.51M</t>
  </si>
  <si>
    <t>295.18M</t>
  </si>
  <si>
    <t>351.06M</t>
  </si>
  <si>
    <t>426.43M</t>
  </si>
  <si>
    <t>286.82M</t>
  </si>
  <si>
    <t>382.18M</t>
  </si>
  <si>
    <t>388.17M</t>
  </si>
  <si>
    <t>302.24M</t>
  </si>
  <si>
    <t>527.56M</t>
  </si>
  <si>
    <t>558.79M</t>
  </si>
  <si>
    <t>518.15M</t>
  </si>
  <si>
    <t>622.45M</t>
  </si>
  <si>
    <t>500.47M</t>
  </si>
  <si>
    <t>549.02M</t>
  </si>
  <si>
    <t>652.76M</t>
  </si>
  <si>
    <t>387.27M</t>
  </si>
  <si>
    <t>401.14M</t>
  </si>
  <si>
    <t>751.13M</t>
  </si>
  <si>
    <t>996.23M</t>
  </si>
  <si>
    <t>516.62M</t>
  </si>
  <si>
    <t>495.66M</t>
  </si>
  <si>
    <t>317.10M</t>
  </si>
  <si>
    <t>351.00M</t>
  </si>
  <si>
    <t>318.15M</t>
  </si>
  <si>
    <t>304.83M</t>
  </si>
  <si>
    <t>303.62M</t>
  </si>
  <si>
    <t>419.91M</t>
  </si>
  <si>
    <t>414.76M</t>
  </si>
  <si>
    <t>403.66M</t>
  </si>
  <si>
    <t>275.59M</t>
  </si>
  <si>
    <t>342.10M</t>
  </si>
  <si>
    <t>384.70M</t>
  </si>
  <si>
    <t>379.00M</t>
  </si>
  <si>
    <t>408.73M</t>
  </si>
  <si>
    <t>654.60M</t>
  </si>
  <si>
    <t>313.28M</t>
  </si>
  <si>
    <t>376.58M</t>
  </si>
  <si>
    <t>365.67M</t>
  </si>
  <si>
    <t>470.11M</t>
  </si>
  <si>
    <t>451.16M</t>
  </si>
  <si>
    <t>460.56M</t>
  </si>
  <si>
    <t>741.61M</t>
  </si>
  <si>
    <t>521.56M</t>
  </si>
  <si>
    <t>874.15M</t>
  </si>
  <si>
    <t>792.71M</t>
  </si>
  <si>
    <t>440.48M</t>
  </si>
  <si>
    <t>547.23M</t>
  </si>
  <si>
    <t>571.99M</t>
  </si>
  <si>
    <t>635.40M</t>
  </si>
  <si>
    <t>709.96M</t>
  </si>
  <si>
    <t>790.78M</t>
  </si>
  <si>
    <t>537.96M</t>
  </si>
  <si>
    <t>421.87M</t>
  </si>
  <si>
    <t>542.12M</t>
  </si>
  <si>
    <t>575.35M</t>
  </si>
  <si>
    <t>475.15M</t>
  </si>
  <si>
    <t>546.21M</t>
  </si>
  <si>
    <t>534.69M</t>
  </si>
  <si>
    <t>491.02M</t>
  </si>
  <si>
    <t>721.09M</t>
  </si>
  <si>
    <t>590.83M</t>
  </si>
  <si>
    <t>863.49M</t>
  </si>
  <si>
    <t>2.03B</t>
  </si>
  <si>
    <t>788.39M</t>
  </si>
  <si>
    <t>982.14M</t>
  </si>
  <si>
    <t>738.54M</t>
  </si>
  <si>
    <t>727.18M</t>
  </si>
  <si>
    <t>957.66M</t>
  </si>
  <si>
    <t>520.23M</t>
  </si>
  <si>
    <t>667.98M</t>
  </si>
  <si>
    <t>359.47M</t>
  </si>
  <si>
    <t>261.64M</t>
  </si>
  <si>
    <t>314.70M</t>
  </si>
  <si>
    <t>406.86M</t>
  </si>
  <si>
    <t>410.94M</t>
  </si>
  <si>
    <t>338.45M</t>
  </si>
  <si>
    <t>382.74M</t>
  </si>
  <si>
    <t>562.07M</t>
  </si>
  <si>
    <t>525.76M</t>
  </si>
  <si>
    <t>506.04M</t>
  </si>
  <si>
    <t>393.21M</t>
  </si>
  <si>
    <t>466.61M</t>
  </si>
  <si>
    <t>337.05M</t>
  </si>
  <si>
    <t>411.05M</t>
  </si>
  <si>
    <t>470.82M</t>
  </si>
  <si>
    <t>435.84M</t>
  </si>
  <si>
    <t>291.95M</t>
  </si>
  <si>
    <t>361.93M</t>
  </si>
  <si>
    <t>250.85M</t>
  </si>
  <si>
    <t>267.81M</t>
  </si>
  <si>
    <t>279.99M</t>
  </si>
  <si>
    <t>278.12M</t>
  </si>
  <si>
    <t>254.86M</t>
  </si>
  <si>
    <t>299.15M</t>
  </si>
  <si>
    <t>260.70M</t>
  </si>
  <si>
    <t>262.39M</t>
  </si>
  <si>
    <t>286.75M</t>
  </si>
  <si>
    <t>267.11M</t>
  </si>
  <si>
    <t>254.24M</t>
  </si>
  <si>
    <t>298.53M</t>
  </si>
  <si>
    <t>228.50M</t>
  </si>
  <si>
    <t>284.92M</t>
  </si>
  <si>
    <t>320.26M</t>
  </si>
  <si>
    <t>278.13M</t>
  </si>
  <si>
    <t>245.99M</t>
  </si>
  <si>
    <t>299.06M</t>
  </si>
  <si>
    <t>421.25M</t>
  </si>
  <si>
    <t>306.84M</t>
  </si>
  <si>
    <t>307.43M</t>
  </si>
  <si>
    <t>284.06M</t>
  </si>
  <si>
    <t>230.31M</t>
  </si>
  <si>
    <t>277.50M</t>
  </si>
  <si>
    <t>335.51M</t>
  </si>
  <si>
    <t>309.32M</t>
  </si>
  <si>
    <t>296.27M</t>
  </si>
  <si>
    <t>275.50M</t>
  </si>
  <si>
    <t>493.09M</t>
  </si>
  <si>
    <t>270.32M</t>
  </si>
  <si>
    <t>325.98M</t>
  </si>
  <si>
    <t>344.65M</t>
  </si>
  <si>
    <t>368.61M</t>
  </si>
  <si>
    <t>378.66M</t>
  </si>
  <si>
    <t>422.57M</t>
  </si>
  <si>
    <t>749.96M</t>
  </si>
  <si>
    <t>521.81M</t>
  </si>
  <si>
    <t>482.99M</t>
  </si>
  <si>
    <t>317.42M</t>
  </si>
  <si>
    <t>415.69M</t>
  </si>
  <si>
    <t>395.99M</t>
  </si>
  <si>
    <t>429.00M</t>
  </si>
  <si>
    <t>510.21M</t>
  </si>
  <si>
    <t>363.77M</t>
  </si>
  <si>
    <t>418.68M</t>
  </si>
  <si>
    <t>838.04M</t>
  </si>
  <si>
    <t>353.06M</t>
  </si>
  <si>
    <t>313.27M</t>
  </si>
  <si>
    <t>247.88M</t>
  </si>
  <si>
    <t>214.83M</t>
  </si>
  <si>
    <t>183.90M</t>
  </si>
  <si>
    <t>196.94M</t>
  </si>
  <si>
    <t>197.67M</t>
  </si>
  <si>
    <t>180.81M</t>
  </si>
  <si>
    <t>183.97M</t>
  </si>
  <si>
    <t>258.24M</t>
  </si>
  <si>
    <t>198.12M</t>
  </si>
  <si>
    <t>216.44M</t>
  </si>
  <si>
    <t>191.79M</t>
  </si>
  <si>
    <t>237.94M</t>
  </si>
  <si>
    <t>201.79M</t>
  </si>
  <si>
    <t>227.75M</t>
  </si>
  <si>
    <t>186.92M</t>
  </si>
  <si>
    <t>190.08M</t>
  </si>
  <si>
    <t>208.65M</t>
  </si>
  <si>
    <t>242.96M</t>
  </si>
  <si>
    <t>289.58M</t>
  </si>
  <si>
    <t>260.27M</t>
  </si>
  <si>
    <t>303.26M</t>
  </si>
  <si>
    <t>335.96M</t>
  </si>
  <si>
    <t>219.51M</t>
  </si>
  <si>
    <t>225.77M</t>
  </si>
  <si>
    <t>166.92M</t>
  </si>
  <si>
    <t>223.27M</t>
  </si>
  <si>
    <t>260.89M</t>
  </si>
  <si>
    <t>216.59M</t>
  </si>
  <si>
    <t>220.42M</t>
  </si>
  <si>
    <t>248.90M</t>
  </si>
  <si>
    <t>201.16M</t>
  </si>
  <si>
    <t>246.20M</t>
  </si>
  <si>
    <t>222.74M</t>
  </si>
  <si>
    <t>208.30M</t>
  </si>
  <si>
    <t>185.86M</t>
  </si>
  <si>
    <t>248.03M</t>
  </si>
  <si>
    <t>324.55M</t>
  </si>
  <si>
    <t>253.79M</t>
  </si>
  <si>
    <t>246.12M</t>
  </si>
  <si>
    <t>218.44M</t>
  </si>
  <si>
    <t>325.79M</t>
  </si>
  <si>
    <t>250.20M</t>
  </si>
  <si>
    <t>188.18M</t>
  </si>
  <si>
    <t>222.84M</t>
  </si>
  <si>
    <t>180.92M</t>
  </si>
  <si>
    <t>236.09M</t>
  </si>
  <si>
    <t>205.86M</t>
  </si>
  <si>
    <t>219.60M</t>
  </si>
  <si>
    <t>297.94M</t>
  </si>
  <si>
    <t>248.85M</t>
  </si>
  <si>
    <t>311.26M</t>
  </si>
  <si>
    <t>257.13M</t>
  </si>
  <si>
    <t>232.21M</t>
  </si>
  <si>
    <t>189.76M</t>
  </si>
  <si>
    <t>244.87M</t>
  </si>
  <si>
    <t>268.26M</t>
  </si>
  <si>
    <t>145.36M</t>
  </si>
  <si>
    <t>247.89M</t>
  </si>
  <si>
    <t>246.87M</t>
  </si>
  <si>
    <t>243.15M</t>
  </si>
  <si>
    <t>287.27M</t>
  </si>
  <si>
    <t>238.56M</t>
  </si>
  <si>
    <t>248.05M</t>
  </si>
  <si>
    <t>233.17M</t>
  </si>
  <si>
    <t>250.14M</t>
  </si>
  <si>
    <t>215.15M</t>
  </si>
  <si>
    <t>235.44M</t>
  </si>
  <si>
    <t>218.00M</t>
  </si>
  <si>
    <t>206.77M</t>
  </si>
  <si>
    <t>311.91M</t>
  </si>
  <si>
    <t>199.02M</t>
  </si>
  <si>
    <t>195.64M</t>
  </si>
  <si>
    <t>216.85M</t>
  </si>
  <si>
    <t>238.55M</t>
  </si>
  <si>
    <t>265.89M</t>
  </si>
  <si>
    <t>311.22M</t>
  </si>
  <si>
    <t>410.61M</t>
  </si>
  <si>
    <t>234.35M</t>
  </si>
  <si>
    <t>242.66M</t>
  </si>
  <si>
    <t>272.23M</t>
  </si>
  <si>
    <t>193.78M</t>
  </si>
  <si>
    <t>320.96M</t>
  </si>
  <si>
    <t>267.76M</t>
  </si>
  <si>
    <t>272.17M</t>
  </si>
  <si>
    <t>262.05M</t>
  </si>
  <si>
    <t>299.40M</t>
  </si>
  <si>
    <t>431.17M</t>
  </si>
  <si>
    <t>406.66M</t>
  </si>
  <si>
    <t>360.98M</t>
  </si>
  <si>
    <t>2.43B</t>
  </si>
  <si>
    <t>2.09B</t>
  </si>
  <si>
    <t>1.91B</t>
  </si>
  <si>
    <t>2.95B</t>
  </si>
  <si>
    <t>2.34B</t>
  </si>
  <si>
    <t>2.59B</t>
  </si>
  <si>
    <t>2.50B</t>
  </si>
  <si>
    <t>2.39B</t>
  </si>
  <si>
    <t>3.44B</t>
  </si>
  <si>
    <t>2.51B</t>
  </si>
  <si>
    <t>3.63B</t>
  </si>
  <si>
    <t>3.90B</t>
  </si>
  <si>
    <t>1.73B</t>
  </si>
  <si>
    <t>1.39B</t>
  </si>
  <si>
    <t>1.59B</t>
  </si>
  <si>
    <t>2.83B</t>
  </si>
  <si>
    <t>3.59B</t>
  </si>
  <si>
    <t>2.35B</t>
  </si>
  <si>
    <t>5.21B</t>
  </si>
  <si>
    <t>4.67B</t>
  </si>
  <si>
    <t>5.68B</t>
  </si>
  <si>
    <t>3.84B</t>
  </si>
  <si>
    <t>5.72B</t>
  </si>
  <si>
    <t>7.10B</t>
  </si>
  <si>
    <t>6.12B</t>
  </si>
  <si>
    <t>3.11B</t>
  </si>
  <si>
    <t>2.37B</t>
  </si>
  <si>
    <t>3.53B</t>
  </si>
  <si>
    <t>2.05B</t>
  </si>
  <si>
    <t>2.99B</t>
  </si>
  <si>
    <t>3.22B</t>
  </si>
  <si>
    <t>4.24B</t>
  </si>
  <si>
    <t>3.46B</t>
  </si>
  <si>
    <t>3.21B</t>
  </si>
  <si>
    <t>2.63B</t>
  </si>
  <si>
    <t>2.00B</t>
  </si>
  <si>
    <t>4.16B</t>
  </si>
  <si>
    <t>3.20B</t>
  </si>
  <si>
    <t>2.86B</t>
  </si>
  <si>
    <t>2.36B</t>
  </si>
  <si>
    <t>1.64B</t>
  </si>
  <si>
    <t>2.23B</t>
  </si>
  <si>
    <t>1.79B</t>
  </si>
  <si>
    <t>1.48B</t>
  </si>
  <si>
    <t>934.37M</t>
  </si>
  <si>
    <t>897.78M</t>
  </si>
  <si>
    <t>982.10M</t>
  </si>
  <si>
    <t>1.84B</t>
  </si>
  <si>
    <t>2.28B</t>
  </si>
  <si>
    <t>3.40B</t>
  </si>
  <si>
    <t>2.97B</t>
  </si>
  <si>
    <t>4.63B</t>
  </si>
  <si>
    <t>2.57B</t>
  </si>
  <si>
    <t>2.69B</t>
  </si>
  <si>
    <t>444.99M</t>
  </si>
  <si>
    <t>663.90M</t>
  </si>
  <si>
    <t>426.96M</t>
  </si>
  <si>
    <t>325.74M</t>
  </si>
  <si>
    <t>356.46M</t>
  </si>
  <si>
    <t>264.39M</t>
  </si>
  <si>
    <t>499.54M</t>
  </si>
  <si>
    <t>367.23M</t>
  </si>
  <si>
    <t>488.21M</t>
  </si>
  <si>
    <t>391.99M</t>
  </si>
  <si>
    <t>340.07M</t>
  </si>
  <si>
    <t>414.12M</t>
  </si>
  <si>
    <t>668.93M</t>
  </si>
  <si>
    <t>692.89M</t>
  </si>
  <si>
    <t>968.13M</t>
  </si>
  <si>
    <t>695.70M</t>
  </si>
  <si>
    <t>384.24M</t>
  </si>
  <si>
    <t>419.60M</t>
  </si>
  <si>
    <t>544.22M</t>
  </si>
  <si>
    <t>468.96M</t>
  </si>
  <si>
    <t>358.97M</t>
  </si>
  <si>
    <t>383.31M</t>
  </si>
  <si>
    <t>350.61M</t>
  </si>
  <si>
    <t>523.00M</t>
  </si>
  <si>
    <t>482.03M</t>
  </si>
  <si>
    <t>476.66M</t>
  </si>
  <si>
    <t>362.49M</t>
  </si>
  <si>
    <t>526.88M</t>
  </si>
  <si>
    <t>511.58M</t>
  </si>
  <si>
    <t>402.59M</t>
  </si>
  <si>
    <t>284.23M</t>
  </si>
  <si>
    <t>306.08M</t>
  </si>
  <si>
    <t>432.68M</t>
  </si>
  <si>
    <t>383.66M</t>
  </si>
  <si>
    <t>409.73M</t>
  </si>
  <si>
    <t>408.86M</t>
  </si>
  <si>
    <t>317.40M</t>
  </si>
  <si>
    <t>577.59M</t>
  </si>
  <si>
    <t>454.58M</t>
  </si>
  <si>
    <t>529.87M</t>
  </si>
  <si>
    <t>574.80M</t>
  </si>
  <si>
    <t>919.01M</t>
  </si>
  <si>
    <t>661.99M</t>
  </si>
  <si>
    <t>418.89M</t>
  </si>
  <si>
    <t>457.03M</t>
  </si>
  <si>
    <t>404.92M</t>
  </si>
  <si>
    <t>568.12M</t>
  </si>
  <si>
    <t>523.34M</t>
  </si>
  <si>
    <t>396.32M</t>
  </si>
  <si>
    <t>951.61M</t>
  </si>
  <si>
    <t>366.88M</t>
  </si>
  <si>
    <t>409.32M</t>
  </si>
  <si>
    <t>397.10M</t>
  </si>
  <si>
    <t>505.90M</t>
  </si>
  <si>
    <t>325.29M</t>
  </si>
  <si>
    <t>555.23M</t>
  </si>
  <si>
    <t>888.47M</t>
  </si>
  <si>
    <t>831.52M</t>
  </si>
  <si>
    <t>319.87M</t>
  </si>
  <si>
    <t>382.98M</t>
  </si>
  <si>
    <t>581.15M</t>
  </si>
  <si>
    <t>564.84M</t>
  </si>
  <si>
    <t>410.26M</t>
  </si>
  <si>
    <t>640.07M</t>
  </si>
  <si>
    <t>402.27M</t>
  </si>
  <si>
    <t>485.62M</t>
  </si>
  <si>
    <t>284.69M</t>
  </si>
  <si>
    <t>335.25M</t>
  </si>
  <si>
    <t>469.23M</t>
  </si>
  <si>
    <t>483.35M</t>
  </si>
  <si>
    <t>461.37M</t>
  </si>
  <si>
    <t>461.95M</t>
  </si>
  <si>
    <t>344.55M</t>
  </si>
  <si>
    <t>767.74M</t>
  </si>
  <si>
    <t>388.23M</t>
  </si>
  <si>
    <t>373.48M</t>
  </si>
  <si>
    <t>346.82M</t>
  </si>
  <si>
    <t>357.50M</t>
  </si>
  <si>
    <t>332.55M</t>
  </si>
  <si>
    <t>288.42M</t>
  </si>
  <si>
    <t>418.39M</t>
  </si>
  <si>
    <t>238.08M</t>
  </si>
  <si>
    <t>306.73M</t>
  </si>
  <si>
    <t>455.34M</t>
  </si>
  <si>
    <t>295.36M</t>
  </si>
  <si>
    <t>407.13M</t>
  </si>
  <si>
    <t>257.31M</t>
  </si>
  <si>
    <t>441.16M</t>
  </si>
  <si>
    <t>389.37M</t>
  </si>
  <si>
    <t>625.32M</t>
  </si>
  <si>
    <t>613.21M</t>
  </si>
  <si>
    <t>488.74M</t>
  </si>
  <si>
    <t>652.54M</t>
  </si>
  <si>
    <t>396.10M</t>
  </si>
  <si>
    <t>471.34M</t>
  </si>
  <si>
    <t>546.41M</t>
  </si>
  <si>
    <t>470.53M</t>
  </si>
  <si>
    <t>893.67M</t>
  </si>
  <si>
    <t>584.62M</t>
  </si>
  <si>
    <t>497.73M</t>
  </si>
  <si>
    <t>569.91M</t>
  </si>
  <si>
    <t>659.56M</t>
  </si>
  <si>
    <t>299.10M</t>
  </si>
  <si>
    <t>378.67M</t>
  </si>
  <si>
    <t>535.25M</t>
  </si>
  <si>
    <t>401.67M</t>
  </si>
  <si>
    <t>471.46M</t>
  </si>
  <si>
    <t>492.63M</t>
  </si>
  <si>
    <t>268.57M</t>
  </si>
  <si>
    <t>429.20M</t>
  </si>
  <si>
    <t>309.84M</t>
  </si>
  <si>
    <t>249.54M</t>
  </si>
  <si>
    <t>344.43M</t>
  </si>
  <si>
    <t>463.44M</t>
  </si>
  <si>
    <t>215.48M</t>
  </si>
  <si>
    <t>334.25M</t>
  </si>
  <si>
    <t>315.99M</t>
  </si>
  <si>
    <t>242.67M</t>
  </si>
  <si>
    <t>376.68M</t>
  </si>
  <si>
    <t>424.65M</t>
  </si>
  <si>
    <t>296.85M</t>
  </si>
  <si>
    <t>395.60M</t>
  </si>
  <si>
    <t>316.58M</t>
  </si>
  <si>
    <t>471.20M</t>
  </si>
  <si>
    <t>353.50M</t>
  </si>
  <si>
    <t>340.68M</t>
  </si>
  <si>
    <t>307.57M</t>
  </si>
  <si>
    <t>422.68M</t>
  </si>
  <si>
    <t>526.36M</t>
  </si>
  <si>
    <t>503.47M</t>
  </si>
  <si>
    <t>339.54M</t>
  </si>
  <si>
    <t>370.84M</t>
  </si>
  <si>
    <t>577.03M</t>
  </si>
  <si>
    <t>492.25M</t>
  </si>
  <si>
    <t>274.38M</t>
  </si>
  <si>
    <t>531.74M</t>
  </si>
  <si>
    <t>542.93M</t>
  </si>
  <si>
    <t>417.10M</t>
  </si>
  <si>
    <t>331.84M</t>
  </si>
  <si>
    <t>450.08M</t>
  </si>
  <si>
    <t>396.43M</t>
  </si>
  <si>
    <t>405.89M</t>
  </si>
  <si>
    <t>357.77M</t>
  </si>
  <si>
    <t>505.56M</t>
  </si>
  <si>
    <t>673.96M</t>
  </si>
  <si>
    <t>800.20M</t>
  </si>
  <si>
    <t>592.43M</t>
  </si>
  <si>
    <t>558.64M</t>
  </si>
  <si>
    <t>343.79M</t>
  </si>
  <si>
    <t>470.78M</t>
  </si>
  <si>
    <t>352.99M</t>
  </si>
  <si>
    <t>397.19M</t>
  </si>
  <si>
    <t>403.72M</t>
  </si>
  <si>
    <t>450.91M</t>
  </si>
  <si>
    <t>433.97M</t>
  </si>
  <si>
    <t>449.82M</t>
  </si>
  <si>
    <t>421.17M</t>
  </si>
  <si>
    <t>715.10M</t>
  </si>
  <si>
    <t>266.09M</t>
  </si>
  <si>
    <t>432.94M</t>
  </si>
  <si>
    <t>295.57M</t>
  </si>
  <si>
    <t>433.93M</t>
  </si>
  <si>
    <t>241.77M</t>
  </si>
  <si>
    <t>289.41M</t>
  </si>
  <si>
    <t>398.79M</t>
  </si>
  <si>
    <t>314.47M</t>
  </si>
  <si>
    <t>341.77M</t>
  </si>
  <si>
    <t>Apple</t>
  </si>
  <si>
    <t>Microsoft</t>
  </si>
  <si>
    <t>Google</t>
  </si>
  <si>
    <t>Amazon</t>
  </si>
  <si>
    <t>Nvidia</t>
  </si>
  <si>
    <t>Samsung</t>
  </si>
  <si>
    <t>Tesla</t>
  </si>
  <si>
    <t>Intel</t>
  </si>
  <si>
    <t>Tencent</t>
  </si>
  <si>
    <t>468.45M</t>
  </si>
  <si>
    <t>424.03M</t>
  </si>
  <si>
    <t>454.91M</t>
  </si>
  <si>
    <t>396.89M</t>
  </si>
  <si>
    <t>729.58M</t>
  </si>
  <si>
    <t>829.47M</t>
  </si>
  <si>
    <t>617.60M</t>
  </si>
  <si>
    <t>860.11M</t>
  </si>
  <si>
    <t>965.10M</t>
  </si>
  <si>
    <t>877.73M</t>
  </si>
  <si>
    <t>856.02M</t>
  </si>
  <si>
    <t>4.03B</t>
  </si>
  <si>
    <t>3.61B</t>
  </si>
  <si>
    <t>411.79M</t>
  </si>
  <si>
    <t>234.43M</t>
  </si>
  <si>
    <t>224.54M</t>
  </si>
  <si>
    <t>273.11M</t>
  </si>
  <si>
    <t>529.79M</t>
  </si>
  <si>
    <t>400.28M</t>
  </si>
  <si>
    <t>280.14M</t>
  </si>
  <si>
    <t>488.25M</t>
  </si>
  <si>
    <t>1.97B</t>
  </si>
  <si>
    <t>2.16B</t>
  </si>
  <si>
    <t>2.78B</t>
  </si>
  <si>
    <t>2.70B</t>
  </si>
  <si>
    <t>2.84B</t>
  </si>
  <si>
    <t>331.34M</t>
  </si>
  <si>
    <t>410.67M</t>
  </si>
  <si>
    <t>419.74M</t>
  </si>
  <si>
    <t>410.63M</t>
  </si>
  <si>
    <t>Meta</t>
  </si>
  <si>
    <t>615.91M</t>
  </si>
  <si>
    <t>902.41M</t>
  </si>
  <si>
    <t>981.29M</t>
  </si>
  <si>
    <t>907.54M</t>
  </si>
  <si>
    <t>900.04M</t>
  </si>
  <si>
    <t>988.92M</t>
  </si>
  <si>
    <t>924.53M</t>
  </si>
  <si>
    <t>877.58M</t>
  </si>
  <si>
    <t>255.96M</t>
  </si>
  <si>
    <t>597.24M</t>
  </si>
  <si>
    <t>815.18M</t>
  </si>
  <si>
    <t>698.95M</t>
  </si>
  <si>
    <t>716.52M</t>
  </si>
  <si>
    <t>745.29M</t>
  </si>
  <si>
    <t>800.26M</t>
  </si>
  <si>
    <t>684.06M</t>
  </si>
  <si>
    <t>496.56M</t>
  </si>
  <si>
    <t>479.48M</t>
  </si>
  <si>
    <t>337.81M</t>
  </si>
  <si>
    <t>521.49M</t>
  </si>
  <si>
    <t>653.05M</t>
  </si>
  <si>
    <t>848.32M</t>
  </si>
  <si>
    <t>546.88M</t>
  </si>
  <si>
    <t>564.67M</t>
  </si>
  <si>
    <t>671.02M</t>
  </si>
  <si>
    <t>809.04M</t>
  </si>
  <si>
    <t>621.59M</t>
  </si>
  <si>
    <t>678.21M</t>
  </si>
  <si>
    <t>855.28M</t>
  </si>
  <si>
    <t>414.85M</t>
  </si>
  <si>
    <t>810.86M</t>
  </si>
  <si>
    <t>790.29M</t>
  </si>
  <si>
    <t>842.06M</t>
  </si>
  <si>
    <t>787.96M</t>
  </si>
  <si>
    <t>902.27M</t>
  </si>
  <si>
    <t>3.43B</t>
  </si>
  <si>
    <t>3.32B</t>
  </si>
  <si>
    <t>3.13B</t>
  </si>
  <si>
    <t>3.29B</t>
  </si>
  <si>
    <t>260.90M</t>
  </si>
  <si>
    <t>333.92M</t>
  </si>
  <si>
    <t>447.48M</t>
  </si>
  <si>
    <t>397.23M</t>
  </si>
  <si>
    <t>300.38M</t>
  </si>
  <si>
    <t>339.25M</t>
  </si>
  <si>
    <t>352.53M</t>
  </si>
  <si>
    <t>255.17M</t>
  </si>
  <si>
    <t>364.65M</t>
  </si>
  <si>
    <t>335.27M</t>
  </si>
  <si>
    <t>416.31M</t>
  </si>
  <si>
    <t>211.96M</t>
  </si>
  <si>
    <t>471.70M</t>
  </si>
  <si>
    <t>691.36M</t>
  </si>
  <si>
    <t>676.09M</t>
  </si>
  <si>
    <t>606.38M</t>
  </si>
  <si>
    <t>507.92M</t>
  </si>
  <si>
    <t>670.71M</t>
  </si>
  <si>
    <t>527.07M</t>
  </si>
  <si>
    <t>639.19M</t>
  </si>
  <si>
    <t>382.06M</t>
  </si>
  <si>
    <t>467.67M</t>
  </si>
  <si>
    <t>528.05M</t>
  </si>
  <si>
    <t>725.32M</t>
  </si>
  <si>
    <t>934.90M</t>
  </si>
  <si>
    <t>2.88B</t>
  </si>
  <si>
    <t>250.33M</t>
  </si>
  <si>
    <t>508.00M</t>
  </si>
  <si>
    <t>760.71M</t>
  </si>
  <si>
    <t>739.47M</t>
  </si>
  <si>
    <t>593.69M</t>
  </si>
  <si>
    <t>438.47M</t>
  </si>
  <si>
    <t>671.00M</t>
  </si>
  <si>
    <t>581.64M</t>
  </si>
  <si>
    <t>456.73M</t>
  </si>
  <si>
    <t>294.62M</t>
  </si>
  <si>
    <t>309.50M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</si>
</sst>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DAFA-6676-6F48-966B-3C3D5B834375}">
  <dimension ref="A1:N173"/>
  <sheetViews>
    <sheetView workbookViewId="0">
      <selection activeCell="H12" sqref="H12"/>
    </sheetView>
  </sheetViews>
  <sheetFormatPr defaultColWidth="11" defaultRowHeight="15.75" x14ac:dyDescent="0.5"/>
  <sheetData>
    <row r="1" spans="1:14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14" x14ac:dyDescent="0.5">
      <c r="A2" s="3">
        <v>46266</v>
      </c>
      <c r="B2">
        <v>336.13</v>
      </c>
      <c r="C2">
        <v>316.98</v>
      </c>
      <c r="D2">
        <v>338.49</v>
      </c>
      <c r="E2">
        <v>309.89999999999998</v>
      </c>
      <c r="F2" t="s">
        <v>1494</v>
      </c>
      <c r="G2" s="1">
        <v>6.08E-2</v>
      </c>
      <c r="N2" s="1"/>
    </row>
    <row r="3" spans="1:14" x14ac:dyDescent="0.5">
      <c r="A3" s="3">
        <v>46235</v>
      </c>
      <c r="B3">
        <v>316.85000000000002</v>
      </c>
      <c r="C3">
        <v>309.58</v>
      </c>
      <c r="D3">
        <v>322.37</v>
      </c>
      <c r="E3">
        <v>300.57</v>
      </c>
      <c r="F3" t="s">
        <v>1495</v>
      </c>
      <c r="G3" s="1">
        <v>2.5700000000000001E-2</v>
      </c>
      <c r="N3" s="1"/>
    </row>
    <row r="4" spans="1:14" x14ac:dyDescent="0.5">
      <c r="A4" s="3">
        <v>46204</v>
      </c>
      <c r="B4">
        <v>308.91000000000003</v>
      </c>
      <c r="C4">
        <v>293.44</v>
      </c>
      <c r="D4">
        <v>344.57</v>
      </c>
      <c r="E4">
        <v>289.2</v>
      </c>
      <c r="F4" t="s">
        <v>320</v>
      </c>
      <c r="G4" s="1">
        <v>6.7599999999999993E-2</v>
      </c>
      <c r="N4" s="1"/>
    </row>
    <row r="5" spans="1:14" x14ac:dyDescent="0.5">
      <c r="A5" s="3">
        <v>46174</v>
      </c>
      <c r="B5">
        <v>289.36</v>
      </c>
      <c r="C5">
        <v>309.63</v>
      </c>
      <c r="D5">
        <v>317.39999999999998</v>
      </c>
      <c r="E5">
        <v>273.75</v>
      </c>
      <c r="F5" t="s">
        <v>10</v>
      </c>
      <c r="G5" s="1">
        <v>-7.2700000000000001E-2</v>
      </c>
      <c r="N5" s="1"/>
    </row>
    <row r="6" spans="1:14" x14ac:dyDescent="0.5">
      <c r="A6" s="3">
        <v>46143</v>
      </c>
      <c r="B6">
        <v>312.06</v>
      </c>
      <c r="C6">
        <v>278.86</v>
      </c>
      <c r="D6">
        <v>315</v>
      </c>
      <c r="E6">
        <v>274.86</v>
      </c>
      <c r="F6" t="s">
        <v>1496</v>
      </c>
      <c r="G6" s="1">
        <v>0.15</v>
      </c>
      <c r="N6" s="1"/>
    </row>
    <row r="7" spans="1:14" x14ac:dyDescent="0.5">
      <c r="A7" s="3">
        <v>46113</v>
      </c>
      <c r="B7">
        <v>271.35000000000002</v>
      </c>
      <c r="C7">
        <v>254.08</v>
      </c>
      <c r="D7">
        <v>276</v>
      </c>
      <c r="E7">
        <v>245.7</v>
      </c>
      <c r="F7" t="s">
        <v>1497</v>
      </c>
      <c r="G7" s="1">
        <v>6.9199999999999998E-2</v>
      </c>
      <c r="N7" s="1"/>
    </row>
    <row r="8" spans="1:14" x14ac:dyDescent="0.5">
      <c r="A8" s="3">
        <v>46082</v>
      </c>
      <c r="B8">
        <v>253.79</v>
      </c>
      <c r="C8">
        <v>262.41000000000003</v>
      </c>
      <c r="D8">
        <v>266.52999999999997</v>
      </c>
      <c r="E8">
        <v>245.51</v>
      </c>
      <c r="F8" t="s">
        <v>1498</v>
      </c>
      <c r="G8" s="1">
        <v>-3.9300000000000002E-2</v>
      </c>
      <c r="N8" s="1"/>
    </row>
    <row r="9" spans="1:14" x14ac:dyDescent="0.5">
      <c r="A9" s="3">
        <v>46054</v>
      </c>
      <c r="B9">
        <v>264.18</v>
      </c>
      <c r="C9">
        <v>260.02999999999997</v>
      </c>
      <c r="D9">
        <v>280.89999999999998</v>
      </c>
      <c r="E9">
        <v>255.45</v>
      </c>
      <c r="F9" t="s">
        <v>1499</v>
      </c>
      <c r="G9" s="1">
        <v>1.8100000000000002E-2</v>
      </c>
      <c r="N9" s="1"/>
    </row>
    <row r="10" spans="1:14" x14ac:dyDescent="0.5">
      <c r="A10" s="3">
        <v>46023</v>
      </c>
      <c r="B10">
        <v>259.48</v>
      </c>
      <c r="C10">
        <v>272.26</v>
      </c>
      <c r="D10">
        <v>277.83999999999997</v>
      </c>
      <c r="E10">
        <v>243.42</v>
      </c>
      <c r="F10" t="s">
        <v>682</v>
      </c>
      <c r="G10" s="1">
        <v>-4.5499999999999999E-2</v>
      </c>
      <c r="N10" s="1"/>
    </row>
    <row r="11" spans="1:14" x14ac:dyDescent="0.5">
      <c r="A11" s="3">
        <v>45992</v>
      </c>
      <c r="B11">
        <v>271.86</v>
      </c>
      <c r="C11">
        <v>278.01</v>
      </c>
      <c r="D11">
        <v>288.62</v>
      </c>
      <c r="E11">
        <v>266.95</v>
      </c>
      <c r="F11" t="s">
        <v>1500</v>
      </c>
      <c r="G11" s="1">
        <v>-2.5100000000000001E-2</v>
      </c>
      <c r="N11" s="1"/>
    </row>
    <row r="12" spans="1:14" x14ac:dyDescent="0.5">
      <c r="A12" s="3">
        <v>45962</v>
      </c>
      <c r="B12">
        <v>278.85000000000002</v>
      </c>
      <c r="C12">
        <v>270.42</v>
      </c>
      <c r="D12">
        <v>280.38</v>
      </c>
      <c r="E12">
        <v>265.32</v>
      </c>
      <c r="F12" t="s">
        <v>1501</v>
      </c>
      <c r="G12" s="1">
        <v>3.1399999999999997E-2</v>
      </c>
      <c r="N12" s="1"/>
    </row>
    <row r="13" spans="1:14" x14ac:dyDescent="0.5">
      <c r="A13" s="3">
        <v>45931</v>
      </c>
      <c r="B13">
        <v>270.37</v>
      </c>
      <c r="C13">
        <v>255.04</v>
      </c>
      <c r="D13">
        <v>277.32</v>
      </c>
      <c r="E13">
        <v>244</v>
      </c>
      <c r="F13" t="s">
        <v>319</v>
      </c>
      <c r="G13" s="1">
        <v>6.1800000000000001E-2</v>
      </c>
    </row>
    <row r="14" spans="1:14" x14ac:dyDescent="0.5">
      <c r="A14" s="3">
        <v>45901</v>
      </c>
      <c r="B14">
        <v>254.63</v>
      </c>
      <c r="C14">
        <v>229.25</v>
      </c>
      <c r="D14">
        <v>257.60000000000002</v>
      </c>
      <c r="E14">
        <v>225.95</v>
      </c>
      <c r="F14" t="s">
        <v>24</v>
      </c>
      <c r="G14" s="1">
        <v>9.69E-2</v>
      </c>
    </row>
    <row r="15" spans="1:14" x14ac:dyDescent="0.5">
      <c r="A15" s="3">
        <v>45870</v>
      </c>
      <c r="B15">
        <v>232.14</v>
      </c>
      <c r="C15">
        <v>210.87</v>
      </c>
      <c r="D15">
        <v>235.12</v>
      </c>
      <c r="E15">
        <v>201.5</v>
      </c>
      <c r="F15" t="s">
        <v>304</v>
      </c>
      <c r="G15" s="1">
        <v>0.11840000000000001</v>
      </c>
    </row>
    <row r="16" spans="1:14" x14ac:dyDescent="0.5">
      <c r="A16" s="3">
        <v>45839</v>
      </c>
      <c r="B16">
        <v>207.57</v>
      </c>
      <c r="C16">
        <v>206.66</v>
      </c>
      <c r="D16">
        <v>216.23</v>
      </c>
      <c r="E16">
        <v>206.14</v>
      </c>
      <c r="F16" t="s">
        <v>796</v>
      </c>
      <c r="G16" s="1">
        <v>1.17E-2</v>
      </c>
    </row>
    <row r="17" spans="1:7" x14ac:dyDescent="0.5">
      <c r="A17" t="s">
        <v>7</v>
      </c>
      <c r="B17">
        <v>205.17</v>
      </c>
      <c r="C17">
        <v>200.28</v>
      </c>
      <c r="D17">
        <v>207.39</v>
      </c>
      <c r="E17">
        <v>195.07</v>
      </c>
      <c r="F17" t="s">
        <v>319</v>
      </c>
      <c r="G17" s="1">
        <v>2.1499999999999998E-2</v>
      </c>
    </row>
    <row r="18" spans="1:7" x14ac:dyDescent="0.5">
      <c r="A18" t="s">
        <v>9</v>
      </c>
      <c r="B18">
        <v>200.85</v>
      </c>
      <c r="C18">
        <v>209.08</v>
      </c>
      <c r="D18">
        <v>214.56</v>
      </c>
      <c r="E18">
        <v>193.25</v>
      </c>
      <c r="F18" t="s">
        <v>320</v>
      </c>
      <c r="G18" s="1">
        <v>-5.4800000000000001E-2</v>
      </c>
    </row>
    <row r="19" spans="1:7" x14ac:dyDescent="0.5">
      <c r="A19" t="s">
        <v>11</v>
      </c>
      <c r="B19">
        <v>212.5</v>
      </c>
      <c r="C19">
        <v>219.8</v>
      </c>
      <c r="D19">
        <v>225.19</v>
      </c>
      <c r="E19">
        <v>169.21</v>
      </c>
      <c r="F19" t="s">
        <v>321</v>
      </c>
      <c r="G19" s="1">
        <v>-4.3400000000000001E-2</v>
      </c>
    </row>
    <row r="20" spans="1:7" x14ac:dyDescent="0.5">
      <c r="A20" t="s">
        <v>13</v>
      </c>
      <c r="B20">
        <v>222.13</v>
      </c>
      <c r="C20">
        <v>241.79</v>
      </c>
      <c r="D20">
        <v>244.03</v>
      </c>
      <c r="E20">
        <v>208.42</v>
      </c>
      <c r="F20" t="s">
        <v>310</v>
      </c>
      <c r="G20" s="1">
        <v>-8.1500000000000003E-2</v>
      </c>
    </row>
    <row r="21" spans="1:7" x14ac:dyDescent="0.5">
      <c r="A21" t="s">
        <v>15</v>
      </c>
      <c r="B21">
        <v>241.84</v>
      </c>
      <c r="C21">
        <v>229.99</v>
      </c>
      <c r="D21">
        <v>250</v>
      </c>
      <c r="E21">
        <v>225.7</v>
      </c>
      <c r="F21" t="s">
        <v>322</v>
      </c>
      <c r="G21" s="1">
        <v>2.47E-2</v>
      </c>
    </row>
    <row r="22" spans="1:7" x14ac:dyDescent="0.5">
      <c r="A22" t="s">
        <v>17</v>
      </c>
      <c r="B22">
        <v>236</v>
      </c>
      <c r="C22">
        <v>248.93</v>
      </c>
      <c r="D22">
        <v>249.1</v>
      </c>
      <c r="E22">
        <v>219.38</v>
      </c>
      <c r="F22" t="s">
        <v>320</v>
      </c>
      <c r="G22" s="1">
        <v>-5.7599999999999998E-2</v>
      </c>
    </row>
    <row r="23" spans="1:7" x14ac:dyDescent="0.5">
      <c r="A23" t="s">
        <v>19</v>
      </c>
      <c r="B23">
        <v>250.42</v>
      </c>
      <c r="C23">
        <v>237.27</v>
      </c>
      <c r="D23">
        <v>260.10000000000002</v>
      </c>
      <c r="E23">
        <v>237.16</v>
      </c>
      <c r="F23" t="s">
        <v>323</v>
      </c>
      <c r="G23" s="1">
        <v>5.5199999999999999E-2</v>
      </c>
    </row>
    <row r="24" spans="1:7" x14ac:dyDescent="0.5">
      <c r="A24" t="s">
        <v>21</v>
      </c>
      <c r="B24">
        <v>237.33</v>
      </c>
      <c r="C24">
        <v>220.96</v>
      </c>
      <c r="D24">
        <v>237.81</v>
      </c>
      <c r="E24">
        <v>219.71</v>
      </c>
      <c r="F24" t="s">
        <v>324</v>
      </c>
      <c r="G24" s="1">
        <v>5.0599999999999999E-2</v>
      </c>
    </row>
    <row r="25" spans="1:7" x14ac:dyDescent="0.5">
      <c r="A25" t="s">
        <v>23</v>
      </c>
      <c r="B25">
        <v>225.91</v>
      </c>
      <c r="C25">
        <v>229.52</v>
      </c>
      <c r="D25">
        <v>237.49</v>
      </c>
      <c r="E25">
        <v>221.33</v>
      </c>
      <c r="F25" t="s">
        <v>325</v>
      </c>
      <c r="G25" s="1">
        <v>-3.04E-2</v>
      </c>
    </row>
    <row r="26" spans="1:7" x14ac:dyDescent="0.5">
      <c r="A26" t="s">
        <v>25</v>
      </c>
      <c r="B26">
        <v>233</v>
      </c>
      <c r="C26">
        <v>228.55</v>
      </c>
      <c r="D26">
        <v>233.09</v>
      </c>
      <c r="E26">
        <v>213.92</v>
      </c>
      <c r="F26" t="s">
        <v>326</v>
      </c>
      <c r="G26" s="1">
        <v>1.7500000000000002E-2</v>
      </c>
    </row>
    <row r="27" spans="1:7" x14ac:dyDescent="0.5">
      <c r="A27" t="s">
        <v>27</v>
      </c>
      <c r="B27">
        <v>229</v>
      </c>
      <c r="C27">
        <v>224.37</v>
      </c>
      <c r="D27">
        <v>232.92</v>
      </c>
      <c r="E27">
        <v>196</v>
      </c>
      <c r="F27" t="s">
        <v>310</v>
      </c>
      <c r="G27" s="1">
        <v>3.1199999999999999E-2</v>
      </c>
    </row>
    <row r="28" spans="1:7" x14ac:dyDescent="0.5">
      <c r="A28" t="s">
        <v>29</v>
      </c>
      <c r="B28">
        <v>222.08</v>
      </c>
      <c r="C28">
        <v>212.09</v>
      </c>
      <c r="D28">
        <v>237.23</v>
      </c>
      <c r="E28">
        <v>211.92</v>
      </c>
      <c r="F28" t="s">
        <v>327</v>
      </c>
      <c r="G28" s="1">
        <v>5.4399999999999997E-2</v>
      </c>
    </row>
    <row r="29" spans="1:7" x14ac:dyDescent="0.5">
      <c r="A29" t="s">
        <v>31</v>
      </c>
      <c r="B29">
        <v>210.62</v>
      </c>
      <c r="C29">
        <v>192.9</v>
      </c>
      <c r="D29">
        <v>220.2</v>
      </c>
      <c r="E29">
        <v>192.15</v>
      </c>
      <c r="F29" t="s">
        <v>328</v>
      </c>
      <c r="G29" s="1">
        <v>9.5600000000000004E-2</v>
      </c>
    </row>
    <row r="30" spans="1:7" x14ac:dyDescent="0.5">
      <c r="A30" t="s">
        <v>33</v>
      </c>
      <c r="B30">
        <v>192.25</v>
      </c>
      <c r="C30">
        <v>169.58</v>
      </c>
      <c r="D30">
        <v>193</v>
      </c>
      <c r="E30">
        <v>169.11</v>
      </c>
      <c r="F30" t="s">
        <v>329</v>
      </c>
      <c r="G30" s="1">
        <v>0.12870000000000001</v>
      </c>
    </row>
    <row r="31" spans="1:7" x14ac:dyDescent="0.5">
      <c r="A31" t="s">
        <v>35</v>
      </c>
      <c r="B31">
        <v>170.33</v>
      </c>
      <c r="C31">
        <v>171.19</v>
      </c>
      <c r="D31">
        <v>178.36</v>
      </c>
      <c r="E31">
        <v>164.07</v>
      </c>
      <c r="F31" t="s">
        <v>298</v>
      </c>
      <c r="G31" s="1">
        <v>-6.7000000000000002E-3</v>
      </c>
    </row>
    <row r="32" spans="1:7" x14ac:dyDescent="0.5">
      <c r="A32" t="s">
        <v>37</v>
      </c>
      <c r="B32">
        <v>171.48</v>
      </c>
      <c r="C32">
        <v>179.55</v>
      </c>
      <c r="D32">
        <v>180.53</v>
      </c>
      <c r="E32">
        <v>168.49</v>
      </c>
      <c r="F32" t="s">
        <v>330</v>
      </c>
      <c r="G32" s="1">
        <v>-5.1299999999999998E-2</v>
      </c>
    </row>
    <row r="33" spans="1:7" x14ac:dyDescent="0.5">
      <c r="A33" t="s">
        <v>39</v>
      </c>
      <c r="B33">
        <v>180.75</v>
      </c>
      <c r="C33">
        <v>183.99</v>
      </c>
      <c r="D33">
        <v>191.05</v>
      </c>
      <c r="E33">
        <v>179.25</v>
      </c>
      <c r="F33" t="s">
        <v>308</v>
      </c>
      <c r="G33" s="1">
        <v>-1.9800000000000002E-2</v>
      </c>
    </row>
    <row r="34" spans="1:7" x14ac:dyDescent="0.5">
      <c r="A34" t="s">
        <v>41</v>
      </c>
      <c r="B34">
        <v>184.4</v>
      </c>
      <c r="C34">
        <v>187.15</v>
      </c>
      <c r="D34">
        <v>196.38</v>
      </c>
      <c r="E34">
        <v>180.17</v>
      </c>
      <c r="F34" t="s">
        <v>30</v>
      </c>
      <c r="G34" s="1">
        <v>-4.2200000000000001E-2</v>
      </c>
    </row>
    <row r="35" spans="1:7" x14ac:dyDescent="0.5">
      <c r="A35" t="s">
        <v>43</v>
      </c>
      <c r="B35">
        <v>192.53</v>
      </c>
      <c r="C35">
        <v>190.33</v>
      </c>
      <c r="D35">
        <v>199.62</v>
      </c>
      <c r="E35">
        <v>187.45</v>
      </c>
      <c r="F35" t="s">
        <v>331</v>
      </c>
      <c r="G35" s="1">
        <v>1.3599999999999999E-2</v>
      </c>
    </row>
    <row r="36" spans="1:7" x14ac:dyDescent="0.5">
      <c r="A36" t="s">
        <v>45</v>
      </c>
      <c r="B36">
        <v>189.95</v>
      </c>
      <c r="C36">
        <v>171</v>
      </c>
      <c r="D36">
        <v>192.93</v>
      </c>
      <c r="E36">
        <v>170.12</v>
      </c>
      <c r="F36" t="s">
        <v>319</v>
      </c>
      <c r="G36" s="1">
        <v>0.1123</v>
      </c>
    </row>
    <row r="37" spans="1:7" x14ac:dyDescent="0.5">
      <c r="A37" t="s">
        <v>47</v>
      </c>
      <c r="B37">
        <v>170.77</v>
      </c>
      <c r="C37">
        <v>171.22</v>
      </c>
      <c r="D37">
        <v>182.34</v>
      </c>
      <c r="E37">
        <v>165.67</v>
      </c>
      <c r="F37" t="s">
        <v>332</v>
      </c>
      <c r="G37" s="1">
        <v>-2.5999999999999999E-3</v>
      </c>
    </row>
    <row r="38" spans="1:7" x14ac:dyDescent="0.5">
      <c r="A38" t="s">
        <v>49</v>
      </c>
      <c r="B38">
        <v>171.21</v>
      </c>
      <c r="C38">
        <v>189.49</v>
      </c>
      <c r="D38">
        <v>189.98</v>
      </c>
      <c r="E38">
        <v>167.62</v>
      </c>
      <c r="F38" t="s">
        <v>329</v>
      </c>
      <c r="G38" s="1">
        <v>-8.8700000000000001E-2</v>
      </c>
    </row>
    <row r="39" spans="1:7" x14ac:dyDescent="0.5">
      <c r="A39" t="s">
        <v>51</v>
      </c>
      <c r="B39">
        <v>187.87</v>
      </c>
      <c r="C39">
        <v>196.24</v>
      </c>
      <c r="D39">
        <v>196.73</v>
      </c>
      <c r="E39">
        <v>171.96</v>
      </c>
      <c r="F39" t="s">
        <v>333</v>
      </c>
      <c r="G39" s="1">
        <v>-4.3700000000000003E-2</v>
      </c>
    </row>
    <row r="40" spans="1:7" x14ac:dyDescent="0.5">
      <c r="A40" t="s">
        <v>53</v>
      </c>
      <c r="B40">
        <v>196.45</v>
      </c>
      <c r="C40">
        <v>193.78</v>
      </c>
      <c r="D40">
        <v>198.23</v>
      </c>
      <c r="E40">
        <v>186.6</v>
      </c>
      <c r="F40" t="s">
        <v>334</v>
      </c>
      <c r="G40" s="1">
        <v>1.2800000000000001E-2</v>
      </c>
    </row>
    <row r="41" spans="1:7" x14ac:dyDescent="0.5">
      <c r="A41" t="s">
        <v>55</v>
      </c>
      <c r="B41">
        <v>193.97</v>
      </c>
      <c r="C41">
        <v>177.7</v>
      </c>
      <c r="D41">
        <v>194.48</v>
      </c>
      <c r="E41">
        <v>176.93</v>
      </c>
      <c r="F41" t="s">
        <v>335</v>
      </c>
      <c r="G41" s="1">
        <v>9.4299999999999995E-2</v>
      </c>
    </row>
    <row r="42" spans="1:7" x14ac:dyDescent="0.5">
      <c r="A42" t="s">
        <v>57</v>
      </c>
      <c r="B42">
        <v>177.25</v>
      </c>
      <c r="C42">
        <v>169.28</v>
      </c>
      <c r="D42">
        <v>179.35</v>
      </c>
      <c r="E42">
        <v>164.31</v>
      </c>
      <c r="F42" t="s">
        <v>336</v>
      </c>
      <c r="G42" s="1">
        <v>4.4600000000000001E-2</v>
      </c>
    </row>
    <row r="43" spans="1:7" x14ac:dyDescent="0.5">
      <c r="A43" t="s">
        <v>59</v>
      </c>
      <c r="B43">
        <v>169.68</v>
      </c>
      <c r="C43">
        <v>164.27</v>
      </c>
      <c r="D43">
        <v>169.85</v>
      </c>
      <c r="E43">
        <v>159.78</v>
      </c>
      <c r="F43" t="s">
        <v>337</v>
      </c>
      <c r="G43" s="1">
        <v>2.9000000000000001E-2</v>
      </c>
    </row>
    <row r="44" spans="1:7" x14ac:dyDescent="0.5">
      <c r="A44" t="s">
        <v>61</v>
      </c>
      <c r="B44">
        <v>164.9</v>
      </c>
      <c r="C44">
        <v>146.83000000000001</v>
      </c>
      <c r="D44">
        <v>165</v>
      </c>
      <c r="E44">
        <v>143.9</v>
      </c>
      <c r="F44" t="s">
        <v>338</v>
      </c>
      <c r="G44" s="1">
        <v>0.1186</v>
      </c>
    </row>
    <row r="45" spans="1:7" x14ac:dyDescent="0.5">
      <c r="A45" t="s">
        <v>62</v>
      </c>
      <c r="B45">
        <v>147.41</v>
      </c>
      <c r="C45">
        <v>143.97</v>
      </c>
      <c r="D45">
        <v>157.38</v>
      </c>
      <c r="E45">
        <v>141.32</v>
      </c>
      <c r="F45" t="s">
        <v>339</v>
      </c>
      <c r="G45" s="1">
        <v>2.1600000000000001E-2</v>
      </c>
    </row>
    <row r="46" spans="1:7" x14ac:dyDescent="0.5">
      <c r="A46" t="s">
        <v>64</v>
      </c>
      <c r="B46">
        <v>144.29</v>
      </c>
      <c r="C46">
        <v>130.28</v>
      </c>
      <c r="D46">
        <v>147.22999999999999</v>
      </c>
      <c r="E46">
        <v>124.17</v>
      </c>
      <c r="F46" t="s">
        <v>22</v>
      </c>
      <c r="G46" s="1">
        <v>0.1105</v>
      </c>
    </row>
    <row r="47" spans="1:7" x14ac:dyDescent="0.5">
      <c r="A47" t="s">
        <v>66</v>
      </c>
      <c r="B47">
        <v>129.93</v>
      </c>
      <c r="C47">
        <v>148.21</v>
      </c>
      <c r="D47">
        <v>150.91999999999999</v>
      </c>
      <c r="E47">
        <v>125.87</v>
      </c>
      <c r="F47" t="s">
        <v>20</v>
      </c>
      <c r="G47" s="1">
        <v>-0.12230000000000001</v>
      </c>
    </row>
    <row r="48" spans="1:7" x14ac:dyDescent="0.5">
      <c r="A48" t="s">
        <v>68</v>
      </c>
      <c r="B48">
        <v>148.03</v>
      </c>
      <c r="C48">
        <v>155.08000000000001</v>
      </c>
      <c r="D48">
        <v>155.44999999999999</v>
      </c>
      <c r="E48">
        <v>134.38</v>
      </c>
      <c r="F48" t="s">
        <v>328</v>
      </c>
      <c r="G48" s="1">
        <v>-3.4599999999999999E-2</v>
      </c>
    </row>
    <row r="49" spans="1:7" x14ac:dyDescent="0.5">
      <c r="A49" t="s">
        <v>70</v>
      </c>
      <c r="B49">
        <v>153.34</v>
      </c>
      <c r="C49">
        <v>138.21</v>
      </c>
      <c r="D49">
        <v>157.5</v>
      </c>
      <c r="E49">
        <v>134.37</v>
      </c>
      <c r="F49" t="s">
        <v>340</v>
      </c>
      <c r="G49" s="1">
        <v>0.1096</v>
      </c>
    </row>
    <row r="50" spans="1:7" x14ac:dyDescent="0.5">
      <c r="A50" t="s">
        <v>72</v>
      </c>
      <c r="B50">
        <v>138.19999999999999</v>
      </c>
      <c r="C50">
        <v>156.63999999999999</v>
      </c>
      <c r="D50">
        <v>164.26</v>
      </c>
      <c r="E50">
        <v>138</v>
      </c>
      <c r="F50" t="s">
        <v>341</v>
      </c>
      <c r="G50" s="1">
        <v>-0.121</v>
      </c>
    </row>
    <row r="51" spans="1:7" x14ac:dyDescent="0.5">
      <c r="A51" t="s">
        <v>74</v>
      </c>
      <c r="B51">
        <v>157.22</v>
      </c>
      <c r="C51">
        <v>161.01</v>
      </c>
      <c r="D51">
        <v>176.15</v>
      </c>
      <c r="E51">
        <v>157.13999999999999</v>
      </c>
      <c r="F51" t="s">
        <v>342</v>
      </c>
      <c r="G51" s="1">
        <v>-3.2599999999999997E-2</v>
      </c>
    </row>
    <row r="52" spans="1:7" x14ac:dyDescent="0.5">
      <c r="A52" t="s">
        <v>76</v>
      </c>
      <c r="B52">
        <v>162.51</v>
      </c>
      <c r="C52">
        <v>136.04</v>
      </c>
      <c r="D52">
        <v>163.63</v>
      </c>
      <c r="E52">
        <v>135.66</v>
      </c>
      <c r="F52" t="s">
        <v>343</v>
      </c>
      <c r="G52" s="1">
        <v>0.18859999999999999</v>
      </c>
    </row>
    <row r="53" spans="1:7" x14ac:dyDescent="0.5">
      <c r="A53" t="s">
        <v>78</v>
      </c>
      <c r="B53">
        <v>136.72</v>
      </c>
      <c r="C53">
        <v>149.9</v>
      </c>
      <c r="D53">
        <v>151.74</v>
      </c>
      <c r="E53">
        <v>129.04</v>
      </c>
      <c r="F53" t="s">
        <v>344</v>
      </c>
      <c r="G53" s="1">
        <v>-8.14E-2</v>
      </c>
    </row>
    <row r="54" spans="1:7" x14ac:dyDescent="0.5">
      <c r="A54" t="s">
        <v>80</v>
      </c>
      <c r="B54">
        <v>148.84</v>
      </c>
      <c r="C54">
        <v>156.71</v>
      </c>
      <c r="D54">
        <v>166.48</v>
      </c>
      <c r="E54">
        <v>132.61000000000001</v>
      </c>
      <c r="F54" t="s">
        <v>345</v>
      </c>
      <c r="G54" s="1">
        <v>-5.5899999999999998E-2</v>
      </c>
    </row>
    <row r="55" spans="1:7" x14ac:dyDescent="0.5">
      <c r="A55" t="s">
        <v>82</v>
      </c>
      <c r="B55">
        <v>157.65</v>
      </c>
      <c r="C55">
        <v>174.03</v>
      </c>
      <c r="D55">
        <v>178.49</v>
      </c>
      <c r="E55">
        <v>155.38</v>
      </c>
      <c r="F55" t="s">
        <v>346</v>
      </c>
      <c r="G55" s="1">
        <v>-9.7100000000000006E-2</v>
      </c>
    </row>
    <row r="56" spans="1:7" x14ac:dyDescent="0.5">
      <c r="A56" t="s">
        <v>84</v>
      </c>
      <c r="B56">
        <v>174.61</v>
      </c>
      <c r="C56">
        <v>164.69</v>
      </c>
      <c r="D56">
        <v>179.61</v>
      </c>
      <c r="E56">
        <v>150.1</v>
      </c>
      <c r="F56" t="s">
        <v>347</v>
      </c>
      <c r="G56" s="1">
        <v>5.7500000000000002E-2</v>
      </c>
    </row>
    <row r="57" spans="1:7" x14ac:dyDescent="0.5">
      <c r="A57" t="s">
        <v>86</v>
      </c>
      <c r="B57">
        <v>165.12</v>
      </c>
      <c r="C57">
        <v>174.01</v>
      </c>
      <c r="D57">
        <v>176.65</v>
      </c>
      <c r="E57">
        <v>152</v>
      </c>
      <c r="F57" t="s">
        <v>348</v>
      </c>
      <c r="G57" s="1">
        <v>-5.5300000000000002E-2</v>
      </c>
    </row>
    <row r="58" spans="1:7" x14ac:dyDescent="0.5">
      <c r="A58" t="s">
        <v>88</v>
      </c>
      <c r="B58">
        <v>174.78</v>
      </c>
      <c r="C58">
        <v>177.83</v>
      </c>
      <c r="D58">
        <v>182.94</v>
      </c>
      <c r="E58">
        <v>154.69999999999999</v>
      </c>
      <c r="F58" t="s">
        <v>349</v>
      </c>
      <c r="G58" s="1">
        <v>-1.5699999999999999E-2</v>
      </c>
    </row>
    <row r="59" spans="1:7" x14ac:dyDescent="0.5">
      <c r="A59" t="s">
        <v>90</v>
      </c>
      <c r="B59">
        <v>177.57</v>
      </c>
      <c r="C59">
        <v>167.48</v>
      </c>
      <c r="D59">
        <v>182.13</v>
      </c>
      <c r="E59">
        <v>157.80000000000001</v>
      </c>
      <c r="F59" t="s">
        <v>350</v>
      </c>
      <c r="G59" s="1">
        <v>7.4200000000000002E-2</v>
      </c>
    </row>
    <row r="60" spans="1:7" x14ac:dyDescent="0.5">
      <c r="A60" t="s">
        <v>92</v>
      </c>
      <c r="B60">
        <v>165.3</v>
      </c>
      <c r="C60">
        <v>148.99</v>
      </c>
      <c r="D60">
        <v>165.7</v>
      </c>
      <c r="E60">
        <v>147.47999999999999</v>
      </c>
      <c r="F60" t="s">
        <v>346</v>
      </c>
      <c r="G60" s="1">
        <v>0.10349999999999999</v>
      </c>
    </row>
    <row r="61" spans="1:7" x14ac:dyDescent="0.5">
      <c r="A61" t="s">
        <v>94</v>
      </c>
      <c r="B61">
        <v>149.80000000000001</v>
      </c>
      <c r="C61">
        <v>141.9</v>
      </c>
      <c r="D61">
        <v>153.16</v>
      </c>
      <c r="E61">
        <v>138.27000000000001</v>
      </c>
      <c r="F61" t="s">
        <v>351</v>
      </c>
      <c r="G61" s="1">
        <v>5.8700000000000002E-2</v>
      </c>
    </row>
    <row r="62" spans="1:7" x14ac:dyDescent="0.5">
      <c r="A62" t="s">
        <v>96</v>
      </c>
      <c r="B62">
        <v>141.5</v>
      </c>
      <c r="C62">
        <v>152.83000000000001</v>
      </c>
      <c r="D62">
        <v>157.26</v>
      </c>
      <c r="E62">
        <v>141.27000000000001</v>
      </c>
      <c r="F62" t="s">
        <v>352</v>
      </c>
      <c r="G62" s="1">
        <v>-6.8000000000000005E-2</v>
      </c>
    </row>
    <row r="63" spans="1:7" x14ac:dyDescent="0.5">
      <c r="A63" t="s">
        <v>98</v>
      </c>
      <c r="B63">
        <v>151.83000000000001</v>
      </c>
      <c r="C63">
        <v>146.36000000000001</v>
      </c>
      <c r="D63">
        <v>153.49</v>
      </c>
      <c r="E63">
        <v>144.5</v>
      </c>
      <c r="F63" t="s">
        <v>353</v>
      </c>
      <c r="G63" s="1">
        <v>4.0899999999999999E-2</v>
      </c>
    </row>
    <row r="64" spans="1:7" x14ac:dyDescent="0.5">
      <c r="A64" t="s">
        <v>100</v>
      </c>
      <c r="B64">
        <v>145.86000000000001</v>
      </c>
      <c r="C64">
        <v>136.6</v>
      </c>
      <c r="D64">
        <v>150</v>
      </c>
      <c r="E64">
        <v>135.76</v>
      </c>
      <c r="F64" t="s">
        <v>354</v>
      </c>
      <c r="G64" s="1">
        <v>6.5000000000000002E-2</v>
      </c>
    </row>
    <row r="65" spans="1:7" x14ac:dyDescent="0.5">
      <c r="A65" t="s">
        <v>102</v>
      </c>
      <c r="B65">
        <v>136.96</v>
      </c>
      <c r="C65">
        <v>125.08</v>
      </c>
      <c r="D65">
        <v>137.41</v>
      </c>
      <c r="E65">
        <v>123.13</v>
      </c>
      <c r="F65" t="s">
        <v>321</v>
      </c>
      <c r="G65" s="1">
        <v>9.9099999999999994E-2</v>
      </c>
    </row>
    <row r="66" spans="1:7" x14ac:dyDescent="0.5">
      <c r="A66" t="s">
        <v>104</v>
      </c>
      <c r="B66">
        <v>124.61</v>
      </c>
      <c r="C66">
        <v>132.04</v>
      </c>
      <c r="D66">
        <v>134.07</v>
      </c>
      <c r="E66">
        <v>122.25</v>
      </c>
      <c r="F66" t="s">
        <v>355</v>
      </c>
      <c r="G66" s="1">
        <v>-5.21E-2</v>
      </c>
    </row>
    <row r="67" spans="1:7" x14ac:dyDescent="0.5">
      <c r="A67" t="s">
        <v>106</v>
      </c>
      <c r="B67">
        <v>131.46</v>
      </c>
      <c r="C67">
        <v>123.66</v>
      </c>
      <c r="D67">
        <v>137.07</v>
      </c>
      <c r="E67">
        <v>122.49</v>
      </c>
      <c r="F67" t="s">
        <v>356</v>
      </c>
      <c r="G67" s="1">
        <v>7.6200000000000004E-2</v>
      </c>
    </row>
    <row r="68" spans="1:7" x14ac:dyDescent="0.5">
      <c r="A68" t="s">
        <v>108</v>
      </c>
      <c r="B68">
        <v>122.15</v>
      </c>
      <c r="C68">
        <v>123.75</v>
      </c>
      <c r="D68">
        <v>128.72</v>
      </c>
      <c r="E68">
        <v>116.21</v>
      </c>
      <c r="F68" t="s">
        <v>357</v>
      </c>
      <c r="G68" s="1">
        <v>7.3000000000000001E-3</v>
      </c>
    </row>
    <row r="69" spans="1:7" x14ac:dyDescent="0.5">
      <c r="A69" t="s">
        <v>110</v>
      </c>
      <c r="B69">
        <v>121.26</v>
      </c>
      <c r="C69">
        <v>133.75</v>
      </c>
      <c r="D69">
        <v>137.88</v>
      </c>
      <c r="E69">
        <v>118.39</v>
      </c>
      <c r="F69" t="s">
        <v>358</v>
      </c>
      <c r="G69" s="1">
        <v>-8.1100000000000005E-2</v>
      </c>
    </row>
    <row r="70" spans="1:7" x14ac:dyDescent="0.5">
      <c r="A70" t="s">
        <v>112</v>
      </c>
      <c r="B70">
        <v>131.96</v>
      </c>
      <c r="C70">
        <v>133.52000000000001</v>
      </c>
      <c r="D70">
        <v>145.09</v>
      </c>
      <c r="E70">
        <v>126.38</v>
      </c>
      <c r="F70" t="s">
        <v>359</v>
      </c>
      <c r="G70" s="1">
        <v>-5.4999999999999997E-3</v>
      </c>
    </row>
    <row r="71" spans="1:7" x14ac:dyDescent="0.5">
      <c r="A71" t="s">
        <v>114</v>
      </c>
      <c r="B71">
        <v>132.69</v>
      </c>
      <c r="C71">
        <v>121.01</v>
      </c>
      <c r="D71">
        <v>138.79</v>
      </c>
      <c r="E71">
        <v>120.01</v>
      </c>
      <c r="F71" t="s">
        <v>360</v>
      </c>
      <c r="G71" s="1">
        <v>0.11459999999999999</v>
      </c>
    </row>
    <row r="72" spans="1:7" x14ac:dyDescent="0.5">
      <c r="A72" t="s">
        <v>116</v>
      </c>
      <c r="B72">
        <v>119.05</v>
      </c>
      <c r="C72">
        <v>109.11</v>
      </c>
      <c r="D72">
        <v>121.99</v>
      </c>
      <c r="E72">
        <v>107.32</v>
      </c>
      <c r="F72" t="s">
        <v>361</v>
      </c>
      <c r="G72" s="1">
        <v>9.3600000000000003E-2</v>
      </c>
    </row>
    <row r="73" spans="1:7" x14ac:dyDescent="0.5">
      <c r="A73" t="s">
        <v>118</v>
      </c>
      <c r="B73">
        <v>108.86</v>
      </c>
      <c r="C73">
        <v>117.64</v>
      </c>
      <c r="D73">
        <v>125.39</v>
      </c>
      <c r="E73">
        <v>107.72</v>
      </c>
      <c r="F73" t="s">
        <v>362</v>
      </c>
      <c r="G73" s="1">
        <v>-0.06</v>
      </c>
    </row>
    <row r="74" spans="1:7" x14ac:dyDescent="0.5">
      <c r="A74" t="s">
        <v>120</v>
      </c>
      <c r="B74">
        <v>115.81</v>
      </c>
      <c r="C74">
        <v>132.76</v>
      </c>
      <c r="D74">
        <v>137.97999999999999</v>
      </c>
      <c r="E74">
        <v>103.1</v>
      </c>
      <c r="F74" t="s">
        <v>363</v>
      </c>
      <c r="G74" s="1">
        <v>-0.10249999999999999</v>
      </c>
    </row>
    <row r="75" spans="1:7" x14ac:dyDescent="0.5">
      <c r="A75" t="s">
        <v>122</v>
      </c>
      <c r="B75">
        <v>129.04</v>
      </c>
      <c r="C75">
        <v>108.2</v>
      </c>
      <c r="D75">
        <v>131</v>
      </c>
      <c r="E75">
        <v>107.89</v>
      </c>
      <c r="F75" t="s">
        <v>364</v>
      </c>
      <c r="G75" s="1">
        <v>0.21440000000000001</v>
      </c>
    </row>
    <row r="76" spans="1:7" x14ac:dyDescent="0.5">
      <c r="A76" t="s">
        <v>124</v>
      </c>
      <c r="B76">
        <v>106.26</v>
      </c>
      <c r="C76">
        <v>91.28</v>
      </c>
      <c r="D76">
        <v>106.42</v>
      </c>
      <c r="E76">
        <v>89.14</v>
      </c>
      <c r="F76" t="s">
        <v>365</v>
      </c>
      <c r="G76" s="1">
        <v>0.1651</v>
      </c>
    </row>
    <row r="77" spans="1:7" x14ac:dyDescent="0.5">
      <c r="A77" t="s">
        <v>126</v>
      </c>
      <c r="B77">
        <v>91.2</v>
      </c>
      <c r="C77">
        <v>79.44</v>
      </c>
      <c r="D77">
        <v>93.09</v>
      </c>
      <c r="E77">
        <v>79.3</v>
      </c>
      <c r="F77" t="s">
        <v>366</v>
      </c>
      <c r="G77" s="1">
        <v>0.14749999999999999</v>
      </c>
    </row>
    <row r="78" spans="1:7" x14ac:dyDescent="0.5">
      <c r="A78" t="s">
        <v>128</v>
      </c>
      <c r="B78">
        <v>79.48</v>
      </c>
      <c r="C78">
        <v>71.56</v>
      </c>
      <c r="D78">
        <v>81.06</v>
      </c>
      <c r="E78">
        <v>71.459999999999994</v>
      </c>
      <c r="F78" t="s">
        <v>367</v>
      </c>
      <c r="G78" s="1">
        <v>8.2100000000000006E-2</v>
      </c>
    </row>
    <row r="79" spans="1:7" x14ac:dyDescent="0.5">
      <c r="A79" t="s">
        <v>130</v>
      </c>
      <c r="B79">
        <v>73.45</v>
      </c>
      <c r="C79">
        <v>61.62</v>
      </c>
      <c r="D79">
        <v>73.63</v>
      </c>
      <c r="E79">
        <v>59.23</v>
      </c>
      <c r="F79" t="s">
        <v>368</v>
      </c>
      <c r="G79" s="1">
        <v>0.15540000000000001</v>
      </c>
    </row>
    <row r="80" spans="1:7" x14ac:dyDescent="0.5">
      <c r="A80" t="s">
        <v>132</v>
      </c>
      <c r="B80">
        <v>63.57</v>
      </c>
      <c r="C80">
        <v>70.569999999999993</v>
      </c>
      <c r="D80">
        <v>76</v>
      </c>
      <c r="E80">
        <v>53.15</v>
      </c>
      <c r="F80" t="s">
        <v>369</v>
      </c>
      <c r="G80" s="1">
        <v>-6.9800000000000001E-2</v>
      </c>
    </row>
    <row r="81" spans="1:7" x14ac:dyDescent="0.5">
      <c r="A81" t="s">
        <v>134</v>
      </c>
      <c r="B81">
        <v>68.34</v>
      </c>
      <c r="C81">
        <v>76.08</v>
      </c>
      <c r="D81">
        <v>81.81</v>
      </c>
      <c r="E81">
        <v>64.09</v>
      </c>
      <c r="F81" t="s">
        <v>365</v>
      </c>
      <c r="G81" s="1">
        <v>-0.1168</v>
      </c>
    </row>
    <row r="82" spans="1:7" x14ac:dyDescent="0.5">
      <c r="A82" t="s">
        <v>136</v>
      </c>
      <c r="B82">
        <v>77.38</v>
      </c>
      <c r="C82">
        <v>74.06</v>
      </c>
      <c r="D82">
        <v>81.96</v>
      </c>
      <c r="E82">
        <v>73.19</v>
      </c>
      <c r="F82" t="s">
        <v>370</v>
      </c>
      <c r="G82" s="1">
        <v>5.4100000000000002E-2</v>
      </c>
    </row>
    <row r="83" spans="1:7" x14ac:dyDescent="0.5">
      <c r="A83" t="s">
        <v>138</v>
      </c>
      <c r="B83">
        <v>73.41</v>
      </c>
      <c r="C83">
        <v>66.819999999999993</v>
      </c>
      <c r="D83">
        <v>73.489999999999995</v>
      </c>
      <c r="E83">
        <v>64.069999999999993</v>
      </c>
      <c r="F83" t="s">
        <v>345</v>
      </c>
      <c r="G83" s="1">
        <v>9.8799999999999999E-2</v>
      </c>
    </row>
    <row r="84" spans="1:7" x14ac:dyDescent="0.5">
      <c r="A84" t="s">
        <v>140</v>
      </c>
      <c r="B84">
        <v>66.81</v>
      </c>
      <c r="C84">
        <v>62.38</v>
      </c>
      <c r="D84">
        <v>67</v>
      </c>
      <c r="E84">
        <v>62.29</v>
      </c>
      <c r="F84" t="s">
        <v>352</v>
      </c>
      <c r="G84" s="1">
        <v>7.4300000000000005E-2</v>
      </c>
    </row>
    <row r="85" spans="1:7" x14ac:dyDescent="0.5">
      <c r="A85" t="s">
        <v>142</v>
      </c>
      <c r="B85">
        <v>62.19</v>
      </c>
      <c r="C85">
        <v>56.27</v>
      </c>
      <c r="D85">
        <v>62.44</v>
      </c>
      <c r="E85">
        <v>53.78</v>
      </c>
      <c r="F85" t="s">
        <v>371</v>
      </c>
      <c r="G85" s="1">
        <v>0.11070000000000001</v>
      </c>
    </row>
    <row r="86" spans="1:7" x14ac:dyDescent="0.5">
      <c r="A86" t="s">
        <v>144</v>
      </c>
      <c r="B86">
        <v>55.99</v>
      </c>
      <c r="C86">
        <v>51.61</v>
      </c>
      <c r="D86">
        <v>56.6</v>
      </c>
      <c r="E86">
        <v>51.05</v>
      </c>
      <c r="F86" t="s">
        <v>372</v>
      </c>
      <c r="G86" s="1">
        <v>7.2800000000000004E-2</v>
      </c>
    </row>
    <row r="87" spans="1:7" x14ac:dyDescent="0.5">
      <c r="A87" t="s">
        <v>146</v>
      </c>
      <c r="B87">
        <v>52.19</v>
      </c>
      <c r="C87">
        <v>53.48</v>
      </c>
      <c r="D87">
        <v>54.51</v>
      </c>
      <c r="E87">
        <v>48.15</v>
      </c>
      <c r="F87" t="s">
        <v>373</v>
      </c>
      <c r="G87" s="1">
        <v>-2.01E-2</v>
      </c>
    </row>
    <row r="88" spans="1:7" x14ac:dyDescent="0.5">
      <c r="A88" t="s">
        <v>148</v>
      </c>
      <c r="B88">
        <v>53.26</v>
      </c>
      <c r="C88">
        <v>50.79</v>
      </c>
      <c r="D88">
        <v>55.34</v>
      </c>
      <c r="E88">
        <v>49.6</v>
      </c>
      <c r="F88" t="s">
        <v>374</v>
      </c>
      <c r="G88" s="1">
        <v>7.6399999999999996E-2</v>
      </c>
    </row>
    <row r="89" spans="1:7" x14ac:dyDescent="0.5">
      <c r="A89" t="s">
        <v>150</v>
      </c>
      <c r="B89">
        <v>49.48</v>
      </c>
      <c r="C89">
        <v>43.9</v>
      </c>
      <c r="D89">
        <v>50.39</v>
      </c>
      <c r="E89">
        <v>42.57</v>
      </c>
      <c r="F89" t="s">
        <v>375</v>
      </c>
      <c r="G89" s="1">
        <v>0.1305</v>
      </c>
    </row>
    <row r="90" spans="1:7" x14ac:dyDescent="0.5">
      <c r="A90" t="s">
        <v>152</v>
      </c>
      <c r="B90">
        <v>43.77</v>
      </c>
      <c r="C90">
        <v>52.47</v>
      </c>
      <c r="D90">
        <v>53.83</v>
      </c>
      <c r="E90">
        <v>43.75</v>
      </c>
      <c r="F90" t="s">
        <v>376</v>
      </c>
      <c r="G90" s="1">
        <v>-0.12759999999999999</v>
      </c>
    </row>
    <row r="91" spans="1:7" x14ac:dyDescent="0.5">
      <c r="A91" t="s">
        <v>154</v>
      </c>
      <c r="B91">
        <v>50.17</v>
      </c>
      <c r="C91">
        <v>47.91</v>
      </c>
      <c r="D91">
        <v>52.12</v>
      </c>
      <c r="E91">
        <v>47.09</v>
      </c>
      <c r="F91" t="s">
        <v>377</v>
      </c>
      <c r="G91" s="1">
        <v>5.6399999999999999E-2</v>
      </c>
    </row>
    <row r="92" spans="1:7" x14ac:dyDescent="0.5">
      <c r="A92" t="s">
        <v>156</v>
      </c>
      <c r="B92">
        <v>47.49</v>
      </c>
      <c r="C92">
        <v>43.57</v>
      </c>
      <c r="D92">
        <v>49.42</v>
      </c>
      <c r="E92">
        <v>42.38</v>
      </c>
      <c r="F92" t="s">
        <v>378</v>
      </c>
      <c r="G92" s="1">
        <v>9.7000000000000003E-2</v>
      </c>
    </row>
    <row r="93" spans="1:7" x14ac:dyDescent="0.5">
      <c r="A93" t="s">
        <v>158</v>
      </c>
      <c r="B93">
        <v>43.29</v>
      </c>
      <c r="C93">
        <v>41.74</v>
      </c>
      <c r="D93">
        <v>43.97</v>
      </c>
      <c r="E93">
        <v>41.48</v>
      </c>
      <c r="F93" t="s">
        <v>356</v>
      </c>
      <c r="G93" s="1">
        <v>4.0399999999999998E-2</v>
      </c>
    </row>
    <row r="94" spans="1:7" x14ac:dyDescent="0.5">
      <c r="A94" t="s">
        <v>160</v>
      </c>
      <c r="B94">
        <v>41.61</v>
      </c>
      <c r="C94">
        <v>38.72</v>
      </c>
      <c r="D94">
        <v>42.25</v>
      </c>
      <c r="E94">
        <v>35.5</v>
      </c>
      <c r="F94" t="s">
        <v>379</v>
      </c>
      <c r="G94" s="1">
        <v>5.5E-2</v>
      </c>
    </row>
    <row r="95" spans="1:7" x14ac:dyDescent="0.5">
      <c r="A95" t="s">
        <v>162</v>
      </c>
      <c r="B95">
        <v>39.44</v>
      </c>
      <c r="C95">
        <v>46.12</v>
      </c>
      <c r="D95">
        <v>46.23</v>
      </c>
      <c r="E95">
        <v>36.65</v>
      </c>
      <c r="F95" t="s">
        <v>380</v>
      </c>
      <c r="G95" s="1">
        <v>-0.1167</v>
      </c>
    </row>
    <row r="96" spans="1:7" x14ac:dyDescent="0.5">
      <c r="A96" t="s">
        <v>164</v>
      </c>
      <c r="B96">
        <v>44.65</v>
      </c>
      <c r="C96">
        <v>54.76</v>
      </c>
      <c r="D96">
        <v>55.59</v>
      </c>
      <c r="E96">
        <v>42.56</v>
      </c>
      <c r="F96" t="s">
        <v>381</v>
      </c>
      <c r="G96" s="1">
        <v>-0.184</v>
      </c>
    </row>
    <row r="97" spans="1:7" x14ac:dyDescent="0.5">
      <c r="A97" t="s">
        <v>166</v>
      </c>
      <c r="B97">
        <v>54.72</v>
      </c>
      <c r="C97">
        <v>56.99</v>
      </c>
      <c r="D97">
        <v>58.37</v>
      </c>
      <c r="E97">
        <v>51.52</v>
      </c>
      <c r="F97" t="s">
        <v>382</v>
      </c>
      <c r="G97" s="1">
        <v>-3.0499999999999999E-2</v>
      </c>
    </row>
    <row r="98" spans="1:7" x14ac:dyDescent="0.5">
      <c r="A98" t="s">
        <v>168</v>
      </c>
      <c r="B98">
        <v>56.44</v>
      </c>
      <c r="C98">
        <v>57.1</v>
      </c>
      <c r="D98">
        <v>57.42</v>
      </c>
      <c r="E98">
        <v>53.83</v>
      </c>
      <c r="F98" t="s">
        <v>383</v>
      </c>
      <c r="G98" s="1">
        <v>-8.3000000000000001E-3</v>
      </c>
    </row>
    <row r="99" spans="1:7" x14ac:dyDescent="0.5">
      <c r="A99" t="s">
        <v>170</v>
      </c>
      <c r="B99">
        <v>56.91</v>
      </c>
      <c r="C99">
        <v>49.78</v>
      </c>
      <c r="D99">
        <v>57.22</v>
      </c>
      <c r="E99">
        <v>49.33</v>
      </c>
      <c r="F99" t="s">
        <v>384</v>
      </c>
      <c r="G99" s="1">
        <v>0.1963</v>
      </c>
    </row>
    <row r="100" spans="1:7" x14ac:dyDescent="0.5">
      <c r="A100" t="s">
        <v>172</v>
      </c>
      <c r="B100">
        <v>47.57</v>
      </c>
      <c r="C100">
        <v>45.95</v>
      </c>
      <c r="D100">
        <v>48.99</v>
      </c>
      <c r="E100">
        <v>45.85</v>
      </c>
      <c r="F100" t="s">
        <v>385</v>
      </c>
      <c r="G100" s="1">
        <v>2.7900000000000001E-2</v>
      </c>
    </row>
    <row r="101" spans="1:7" x14ac:dyDescent="0.5">
      <c r="A101" t="s">
        <v>174</v>
      </c>
      <c r="B101">
        <v>46.28</v>
      </c>
      <c r="C101">
        <v>47</v>
      </c>
      <c r="D101">
        <v>48.55</v>
      </c>
      <c r="E101">
        <v>45.18</v>
      </c>
      <c r="F101" t="s">
        <v>349</v>
      </c>
      <c r="G101" s="1">
        <v>-9.4000000000000004E-3</v>
      </c>
    </row>
    <row r="102" spans="1:7" x14ac:dyDescent="0.5">
      <c r="A102" t="s">
        <v>176</v>
      </c>
      <c r="B102">
        <v>46.72</v>
      </c>
      <c r="C102">
        <v>41.6</v>
      </c>
      <c r="D102">
        <v>47.59</v>
      </c>
      <c r="E102">
        <v>41.32</v>
      </c>
      <c r="F102" t="s">
        <v>386</v>
      </c>
      <c r="G102" s="1">
        <v>0.13100000000000001</v>
      </c>
    </row>
    <row r="103" spans="1:7" x14ac:dyDescent="0.5">
      <c r="A103" t="s">
        <v>178</v>
      </c>
      <c r="B103">
        <v>41.31</v>
      </c>
      <c r="C103">
        <v>41.97</v>
      </c>
      <c r="D103">
        <v>44.73</v>
      </c>
      <c r="E103">
        <v>40.159999999999997</v>
      </c>
      <c r="F103" t="s">
        <v>387</v>
      </c>
      <c r="G103" s="1">
        <v>-1.5299999999999999E-2</v>
      </c>
    </row>
    <row r="104" spans="1:7" x14ac:dyDescent="0.5">
      <c r="A104" t="s">
        <v>180</v>
      </c>
      <c r="B104">
        <v>41.95</v>
      </c>
      <c r="C104">
        <v>44.63</v>
      </c>
      <c r="D104">
        <v>45.88</v>
      </c>
      <c r="E104">
        <v>41.23</v>
      </c>
      <c r="F104" t="s">
        <v>388</v>
      </c>
      <c r="G104" s="1">
        <v>-5.79E-2</v>
      </c>
    </row>
    <row r="105" spans="1:7" x14ac:dyDescent="0.5">
      <c r="A105" t="s">
        <v>182</v>
      </c>
      <c r="B105">
        <v>44.53</v>
      </c>
      <c r="C105">
        <v>41.79</v>
      </c>
      <c r="D105">
        <v>45.15</v>
      </c>
      <c r="E105">
        <v>37.56</v>
      </c>
      <c r="F105" t="s">
        <v>389</v>
      </c>
      <c r="G105" s="1">
        <v>6.3799999999999996E-2</v>
      </c>
    </row>
    <row r="106" spans="1:7" x14ac:dyDescent="0.5">
      <c r="A106" t="s">
        <v>184</v>
      </c>
      <c r="B106">
        <v>41.86</v>
      </c>
      <c r="C106">
        <v>42.54</v>
      </c>
      <c r="D106">
        <v>45.02</v>
      </c>
      <c r="E106">
        <v>41.17</v>
      </c>
      <c r="F106" t="s">
        <v>390</v>
      </c>
      <c r="G106" s="1">
        <v>-1.06E-2</v>
      </c>
    </row>
    <row r="107" spans="1:7" x14ac:dyDescent="0.5">
      <c r="A107" t="s">
        <v>186</v>
      </c>
      <c r="B107">
        <v>42.31</v>
      </c>
      <c r="C107">
        <v>42.49</v>
      </c>
      <c r="D107">
        <v>44.3</v>
      </c>
      <c r="E107">
        <v>41.62</v>
      </c>
      <c r="F107" t="s">
        <v>361</v>
      </c>
      <c r="G107" s="1">
        <v>-1.5100000000000001E-2</v>
      </c>
    </row>
    <row r="108" spans="1:7" x14ac:dyDescent="0.5">
      <c r="A108" t="s">
        <v>188</v>
      </c>
      <c r="B108">
        <v>42.96</v>
      </c>
      <c r="C108">
        <v>42.47</v>
      </c>
      <c r="D108">
        <v>44.06</v>
      </c>
      <c r="E108">
        <v>41.32</v>
      </c>
      <c r="F108" t="s">
        <v>345</v>
      </c>
      <c r="G108" s="1">
        <v>1.66E-2</v>
      </c>
    </row>
    <row r="109" spans="1:7" x14ac:dyDescent="0.5">
      <c r="A109" t="s">
        <v>190</v>
      </c>
      <c r="B109">
        <v>42.26</v>
      </c>
      <c r="C109">
        <v>38.56</v>
      </c>
      <c r="D109">
        <v>42.41</v>
      </c>
      <c r="E109">
        <v>38.119999999999997</v>
      </c>
      <c r="F109" t="s">
        <v>377</v>
      </c>
      <c r="G109" s="1">
        <v>9.6799999999999997E-2</v>
      </c>
    </row>
    <row r="110" spans="1:7" x14ac:dyDescent="0.5">
      <c r="A110" t="s">
        <v>192</v>
      </c>
      <c r="B110">
        <v>38.53</v>
      </c>
      <c r="C110">
        <v>41.2</v>
      </c>
      <c r="D110">
        <v>41.23</v>
      </c>
      <c r="E110">
        <v>37.29</v>
      </c>
      <c r="F110" t="s">
        <v>383</v>
      </c>
      <c r="G110" s="1">
        <v>-6.0199999999999997E-2</v>
      </c>
    </row>
    <row r="111" spans="1:7" x14ac:dyDescent="0.5">
      <c r="A111" t="s">
        <v>194</v>
      </c>
      <c r="B111">
        <v>41</v>
      </c>
      <c r="C111">
        <v>37.270000000000003</v>
      </c>
      <c r="D111">
        <v>41.13</v>
      </c>
      <c r="E111">
        <v>37.1</v>
      </c>
      <c r="F111" t="s">
        <v>390</v>
      </c>
      <c r="G111" s="1">
        <v>0.1027</v>
      </c>
    </row>
    <row r="112" spans="1:7" x14ac:dyDescent="0.5">
      <c r="A112" t="s">
        <v>196</v>
      </c>
      <c r="B112">
        <v>37.18</v>
      </c>
      <c r="C112">
        <v>36.22</v>
      </c>
      <c r="D112">
        <v>38.5</v>
      </c>
      <c r="E112">
        <v>35.6</v>
      </c>
      <c r="F112" t="s">
        <v>346</v>
      </c>
      <c r="G112" s="1">
        <v>3.2500000000000001E-2</v>
      </c>
    </row>
    <row r="113" spans="1:7" x14ac:dyDescent="0.5">
      <c r="A113" t="s">
        <v>198</v>
      </c>
      <c r="B113">
        <v>36.01</v>
      </c>
      <c r="C113">
        <v>38.29</v>
      </c>
      <c r="D113">
        <v>38.99</v>
      </c>
      <c r="E113">
        <v>35.549999999999997</v>
      </c>
      <c r="F113" t="s">
        <v>391</v>
      </c>
      <c r="G113" s="1">
        <v>-5.7099999999999998E-2</v>
      </c>
    </row>
    <row r="114" spans="1:7" x14ac:dyDescent="0.5">
      <c r="A114" t="s">
        <v>200</v>
      </c>
      <c r="B114">
        <v>38.19</v>
      </c>
      <c r="C114">
        <v>36.270000000000003</v>
      </c>
      <c r="D114">
        <v>39.159999999999997</v>
      </c>
      <c r="E114">
        <v>36.07</v>
      </c>
      <c r="F114" t="s">
        <v>392</v>
      </c>
      <c r="G114" s="1">
        <v>6.3500000000000001E-2</v>
      </c>
    </row>
    <row r="115" spans="1:7" x14ac:dyDescent="0.5">
      <c r="A115" t="s">
        <v>202</v>
      </c>
      <c r="B115">
        <v>35.909999999999997</v>
      </c>
      <c r="C115">
        <v>35.93</v>
      </c>
      <c r="D115">
        <v>36.369999999999997</v>
      </c>
      <c r="E115">
        <v>35.020000000000003</v>
      </c>
      <c r="F115" t="s">
        <v>393</v>
      </c>
      <c r="G115" s="1">
        <v>0</v>
      </c>
    </row>
    <row r="116" spans="1:7" x14ac:dyDescent="0.5">
      <c r="A116" t="s">
        <v>204</v>
      </c>
      <c r="B116">
        <v>35.909999999999997</v>
      </c>
      <c r="C116">
        <v>34.47</v>
      </c>
      <c r="D116">
        <v>36.119999999999997</v>
      </c>
      <c r="E116">
        <v>34.26</v>
      </c>
      <c r="F116" t="s">
        <v>394</v>
      </c>
      <c r="G116" s="1">
        <v>4.8500000000000001E-2</v>
      </c>
    </row>
    <row r="117" spans="1:7" x14ac:dyDescent="0.5">
      <c r="A117" t="s">
        <v>206</v>
      </c>
      <c r="B117">
        <v>34.25</v>
      </c>
      <c r="C117">
        <v>31.76</v>
      </c>
      <c r="D117">
        <v>34.369999999999997</v>
      </c>
      <c r="E117">
        <v>31.75</v>
      </c>
      <c r="F117" t="s">
        <v>395</v>
      </c>
      <c r="G117" s="1">
        <v>0.12889999999999999</v>
      </c>
    </row>
    <row r="118" spans="1:7" x14ac:dyDescent="0.5">
      <c r="A118" t="s">
        <v>208</v>
      </c>
      <c r="B118">
        <v>30.34</v>
      </c>
      <c r="C118">
        <v>28.95</v>
      </c>
      <c r="D118">
        <v>30.61</v>
      </c>
      <c r="E118">
        <v>28.69</v>
      </c>
      <c r="F118" t="s">
        <v>394</v>
      </c>
      <c r="G118" s="1">
        <v>4.8000000000000001E-2</v>
      </c>
    </row>
    <row r="119" spans="1:7" x14ac:dyDescent="0.5">
      <c r="A119" t="s">
        <v>210</v>
      </c>
      <c r="B119">
        <v>28.95</v>
      </c>
      <c r="C119">
        <v>27.59</v>
      </c>
      <c r="D119">
        <v>29.5</v>
      </c>
      <c r="E119">
        <v>27.06</v>
      </c>
      <c r="F119" t="s">
        <v>396</v>
      </c>
      <c r="G119" s="1">
        <v>4.7800000000000002E-2</v>
      </c>
    </row>
    <row r="120" spans="1:7" x14ac:dyDescent="0.5">
      <c r="A120" t="s">
        <v>212</v>
      </c>
      <c r="B120">
        <v>27.63</v>
      </c>
      <c r="C120">
        <v>28.36</v>
      </c>
      <c r="D120">
        <v>28.44</v>
      </c>
      <c r="E120">
        <v>26.02</v>
      </c>
      <c r="F120" t="s">
        <v>397</v>
      </c>
      <c r="G120" s="1">
        <v>-2.6800000000000001E-2</v>
      </c>
    </row>
    <row r="121" spans="1:7" x14ac:dyDescent="0.5">
      <c r="A121" t="s">
        <v>214</v>
      </c>
      <c r="B121">
        <v>28.39</v>
      </c>
      <c r="C121">
        <v>28.18</v>
      </c>
      <c r="D121">
        <v>29.67</v>
      </c>
      <c r="E121">
        <v>28.07</v>
      </c>
      <c r="F121" t="s">
        <v>398</v>
      </c>
      <c r="G121" s="1">
        <v>4.5999999999999999E-3</v>
      </c>
    </row>
    <row r="122" spans="1:7" x14ac:dyDescent="0.5">
      <c r="A122" t="s">
        <v>216</v>
      </c>
      <c r="B122">
        <v>28.26</v>
      </c>
      <c r="C122">
        <v>26.54</v>
      </c>
      <c r="D122">
        <v>29.05</v>
      </c>
      <c r="E122">
        <v>25.63</v>
      </c>
      <c r="F122" t="s">
        <v>399</v>
      </c>
      <c r="G122" s="1">
        <v>6.5600000000000006E-2</v>
      </c>
    </row>
    <row r="123" spans="1:7" x14ac:dyDescent="0.5">
      <c r="A123" t="s">
        <v>218</v>
      </c>
      <c r="B123">
        <v>26.52</v>
      </c>
      <c r="C123">
        <v>26.1</v>
      </c>
      <c r="D123">
        <v>27.56</v>
      </c>
      <c r="E123">
        <v>26</v>
      </c>
      <c r="F123" t="s">
        <v>400</v>
      </c>
      <c r="G123" s="1">
        <v>1.7999999999999999E-2</v>
      </c>
    </row>
    <row r="124" spans="1:7" x14ac:dyDescent="0.5">
      <c r="A124" t="s">
        <v>220</v>
      </c>
      <c r="B124">
        <v>26.05</v>
      </c>
      <c r="C124">
        <v>23.87</v>
      </c>
      <c r="D124">
        <v>26.14</v>
      </c>
      <c r="E124">
        <v>23.59</v>
      </c>
      <c r="F124" t="s">
        <v>391</v>
      </c>
      <c r="G124" s="1">
        <v>0.09</v>
      </c>
    </row>
    <row r="125" spans="1:7" x14ac:dyDescent="0.5">
      <c r="A125" t="s">
        <v>222</v>
      </c>
      <c r="B125">
        <v>23.9</v>
      </c>
      <c r="C125">
        <v>24.75</v>
      </c>
      <c r="D125">
        <v>25.47</v>
      </c>
      <c r="E125">
        <v>22.88</v>
      </c>
      <c r="F125" t="s">
        <v>401</v>
      </c>
      <c r="G125" s="1">
        <v>-4.2500000000000003E-2</v>
      </c>
    </row>
    <row r="126" spans="1:7" x14ac:dyDescent="0.5">
      <c r="A126" t="s">
        <v>224</v>
      </c>
      <c r="B126">
        <v>24.96</v>
      </c>
      <c r="C126">
        <v>23.49</v>
      </c>
      <c r="D126">
        <v>25.18</v>
      </c>
      <c r="E126">
        <v>22.37</v>
      </c>
      <c r="F126" t="s">
        <v>380</v>
      </c>
      <c r="G126" s="1">
        <v>6.5299999999999997E-2</v>
      </c>
    </row>
    <row r="127" spans="1:7" x14ac:dyDescent="0.5">
      <c r="A127" t="s">
        <v>226</v>
      </c>
      <c r="B127">
        <v>23.43</v>
      </c>
      <c r="C127">
        <v>27.2</v>
      </c>
      <c r="D127">
        <v>28.1</v>
      </c>
      <c r="E127">
        <v>23.13</v>
      </c>
      <c r="F127" t="s">
        <v>402</v>
      </c>
      <c r="G127" s="1">
        <v>-0.14019999999999999</v>
      </c>
    </row>
    <row r="128" spans="1:7" x14ac:dyDescent="0.5">
      <c r="A128" t="s">
        <v>228</v>
      </c>
      <c r="B128">
        <v>27.25</v>
      </c>
      <c r="C128">
        <v>24.41</v>
      </c>
      <c r="D128">
        <v>27.61</v>
      </c>
      <c r="E128">
        <v>24.36</v>
      </c>
      <c r="F128" t="s">
        <v>403</v>
      </c>
      <c r="G128" s="1">
        <v>0.12740000000000001</v>
      </c>
    </row>
    <row r="129" spans="1:7" x14ac:dyDescent="0.5">
      <c r="A129" t="s">
        <v>230</v>
      </c>
      <c r="B129">
        <v>24.17</v>
      </c>
      <c r="C129">
        <v>24.12</v>
      </c>
      <c r="D129">
        <v>24.72</v>
      </c>
      <c r="E129">
        <v>23.15</v>
      </c>
      <c r="F129" t="s">
        <v>366</v>
      </c>
      <c r="G129" s="1">
        <v>-7.0000000000000001E-3</v>
      </c>
    </row>
    <row r="130" spans="1:7" x14ac:dyDescent="0.5">
      <c r="A130" t="s">
        <v>232</v>
      </c>
      <c r="B130">
        <v>24.34</v>
      </c>
      <c r="C130">
        <v>25.65</v>
      </c>
      <c r="D130">
        <v>26.46</v>
      </c>
      <c r="E130">
        <v>23.1</v>
      </c>
      <c r="F130" t="s">
        <v>404</v>
      </c>
      <c r="G130" s="1">
        <v>-7.5200000000000003E-2</v>
      </c>
    </row>
    <row r="131" spans="1:7" x14ac:dyDescent="0.5">
      <c r="A131" t="s">
        <v>234</v>
      </c>
      <c r="B131">
        <v>26.32</v>
      </c>
      <c r="C131">
        <v>29.69</v>
      </c>
      <c r="D131">
        <v>29.96</v>
      </c>
      <c r="E131">
        <v>26.2</v>
      </c>
      <c r="F131" t="s">
        <v>405</v>
      </c>
      <c r="G131" s="1">
        <v>-0.1099</v>
      </c>
    </row>
    <row r="132" spans="1:7" x14ac:dyDescent="0.5">
      <c r="A132" t="s">
        <v>236</v>
      </c>
      <c r="B132">
        <v>29.57</v>
      </c>
      <c r="C132">
        <v>29.97</v>
      </c>
      <c r="D132">
        <v>30.95</v>
      </c>
      <c r="E132">
        <v>27.75</v>
      </c>
      <c r="F132" t="s">
        <v>406</v>
      </c>
      <c r="G132" s="1">
        <v>-1.04E-2</v>
      </c>
    </row>
    <row r="133" spans="1:7" x14ac:dyDescent="0.5">
      <c r="A133" t="s">
        <v>238</v>
      </c>
      <c r="B133">
        <v>29.88</v>
      </c>
      <c r="C133">
        <v>27.27</v>
      </c>
      <c r="D133">
        <v>30.3</v>
      </c>
      <c r="E133">
        <v>26.83</v>
      </c>
      <c r="F133" t="s">
        <v>407</v>
      </c>
      <c r="G133" s="1">
        <v>8.3799999999999999E-2</v>
      </c>
    </row>
    <row r="134" spans="1:7" x14ac:dyDescent="0.5">
      <c r="A134" t="s">
        <v>240</v>
      </c>
      <c r="B134">
        <v>27.57</v>
      </c>
      <c r="C134">
        <v>27.54</v>
      </c>
      <c r="D134">
        <v>29.22</v>
      </c>
      <c r="E134">
        <v>26.84</v>
      </c>
      <c r="F134" t="s">
        <v>408</v>
      </c>
      <c r="G134" s="1">
        <v>-2.1999999999999999E-2</v>
      </c>
    </row>
    <row r="135" spans="1:7" x14ac:dyDescent="0.5">
      <c r="A135" t="s">
        <v>242</v>
      </c>
      <c r="B135">
        <v>28.19</v>
      </c>
      <c r="C135">
        <v>30.38</v>
      </c>
      <c r="D135">
        <v>30.64</v>
      </c>
      <c r="E135">
        <v>23</v>
      </c>
      <c r="F135" t="s">
        <v>409</v>
      </c>
      <c r="G135" s="1">
        <v>-7.0300000000000001E-2</v>
      </c>
    </row>
    <row r="136" spans="1:7" x14ac:dyDescent="0.5">
      <c r="A136" t="s">
        <v>244</v>
      </c>
      <c r="B136">
        <v>30.32</v>
      </c>
      <c r="C136">
        <v>31.73</v>
      </c>
      <c r="D136">
        <v>33.24</v>
      </c>
      <c r="E136">
        <v>29.8</v>
      </c>
      <c r="F136" t="s">
        <v>410</v>
      </c>
      <c r="G136" s="1">
        <v>-3.32E-2</v>
      </c>
    </row>
    <row r="137" spans="1:7" x14ac:dyDescent="0.5">
      <c r="A137" t="s">
        <v>246</v>
      </c>
      <c r="B137">
        <v>31.36</v>
      </c>
      <c r="C137">
        <v>32.799999999999997</v>
      </c>
      <c r="D137">
        <v>32.85</v>
      </c>
      <c r="E137">
        <v>31.12</v>
      </c>
      <c r="F137" t="s">
        <v>411</v>
      </c>
      <c r="G137" s="1">
        <v>-3.7199999999999997E-2</v>
      </c>
    </row>
    <row r="138" spans="1:7" x14ac:dyDescent="0.5">
      <c r="A138" t="s">
        <v>248</v>
      </c>
      <c r="B138">
        <v>32.57</v>
      </c>
      <c r="C138">
        <v>31.52</v>
      </c>
      <c r="D138">
        <v>33.24</v>
      </c>
      <c r="E138">
        <v>30.84</v>
      </c>
      <c r="F138" t="s">
        <v>412</v>
      </c>
      <c r="G138" s="1">
        <v>4.0899999999999999E-2</v>
      </c>
    </row>
    <row r="139" spans="1:7" x14ac:dyDescent="0.5">
      <c r="A139" t="s">
        <v>250</v>
      </c>
      <c r="B139">
        <v>31.29</v>
      </c>
      <c r="C139">
        <v>31.2</v>
      </c>
      <c r="D139">
        <v>33.630000000000003</v>
      </c>
      <c r="E139">
        <v>30.77</v>
      </c>
      <c r="F139" t="s">
        <v>413</v>
      </c>
      <c r="G139" s="1">
        <v>5.7999999999999996E-3</v>
      </c>
    </row>
    <row r="140" spans="1:7" x14ac:dyDescent="0.5">
      <c r="A140" t="s">
        <v>252</v>
      </c>
      <c r="B140">
        <v>31.11</v>
      </c>
      <c r="C140">
        <v>32.31</v>
      </c>
      <c r="D140">
        <v>32.57</v>
      </c>
      <c r="E140">
        <v>30.41</v>
      </c>
      <c r="F140" t="s">
        <v>414</v>
      </c>
      <c r="G140" s="1">
        <v>-3.1399999999999997E-2</v>
      </c>
    </row>
    <row r="141" spans="1:7" x14ac:dyDescent="0.5">
      <c r="A141" t="s">
        <v>254</v>
      </c>
      <c r="B141">
        <v>32.119999999999997</v>
      </c>
      <c r="C141">
        <v>29.51</v>
      </c>
      <c r="D141">
        <v>33.4</v>
      </c>
      <c r="E141">
        <v>29.02</v>
      </c>
      <c r="F141" t="s">
        <v>414</v>
      </c>
      <c r="G141" s="1">
        <v>9.6600000000000005E-2</v>
      </c>
    </row>
    <row r="142" spans="1:7" x14ac:dyDescent="0.5">
      <c r="A142" t="s">
        <v>256</v>
      </c>
      <c r="B142">
        <v>29.29</v>
      </c>
      <c r="C142">
        <v>27.85</v>
      </c>
      <c r="D142">
        <v>30</v>
      </c>
      <c r="E142">
        <v>26.16</v>
      </c>
      <c r="F142" t="s">
        <v>415</v>
      </c>
      <c r="G142" s="1">
        <v>6.1600000000000002E-2</v>
      </c>
    </row>
    <row r="143" spans="1:7" x14ac:dyDescent="0.5">
      <c r="A143" t="s">
        <v>258</v>
      </c>
      <c r="B143">
        <v>27.59</v>
      </c>
      <c r="C143">
        <v>29.7</v>
      </c>
      <c r="D143">
        <v>29.81</v>
      </c>
      <c r="E143">
        <v>26.57</v>
      </c>
      <c r="F143" t="s">
        <v>416</v>
      </c>
      <c r="G143" s="1">
        <v>-7.1999999999999995E-2</v>
      </c>
    </row>
    <row r="144" spans="1:7" x14ac:dyDescent="0.5">
      <c r="A144" t="s">
        <v>260</v>
      </c>
      <c r="B144">
        <v>29.73</v>
      </c>
      <c r="C144">
        <v>27.05</v>
      </c>
      <c r="D144">
        <v>29.94</v>
      </c>
      <c r="E144">
        <v>26.93</v>
      </c>
      <c r="F144" t="s">
        <v>417</v>
      </c>
      <c r="G144" s="1">
        <v>0.1011</v>
      </c>
    </row>
    <row r="145" spans="1:7" x14ac:dyDescent="0.5">
      <c r="A145" t="s">
        <v>262</v>
      </c>
      <c r="B145">
        <v>27</v>
      </c>
      <c r="C145">
        <v>25.15</v>
      </c>
      <c r="D145">
        <v>27.01</v>
      </c>
      <c r="E145">
        <v>23.8</v>
      </c>
      <c r="F145" t="s">
        <v>418</v>
      </c>
      <c r="G145" s="1">
        <v>7.1900000000000006E-2</v>
      </c>
    </row>
    <row r="146" spans="1:7" x14ac:dyDescent="0.5">
      <c r="A146" t="s">
        <v>264</v>
      </c>
      <c r="B146">
        <v>25.19</v>
      </c>
      <c r="C146">
        <v>25.77</v>
      </c>
      <c r="D146">
        <v>25.93</v>
      </c>
      <c r="E146">
        <v>24.04</v>
      </c>
      <c r="F146" t="s">
        <v>419</v>
      </c>
      <c r="G146" s="1">
        <v>-1.6799999999999999E-2</v>
      </c>
    </row>
    <row r="147" spans="1:7" x14ac:dyDescent="0.5">
      <c r="A147" t="s">
        <v>266</v>
      </c>
      <c r="B147">
        <v>25.62</v>
      </c>
      <c r="C147">
        <v>23.73</v>
      </c>
      <c r="D147">
        <v>25.73</v>
      </c>
      <c r="E147">
        <v>23.32</v>
      </c>
      <c r="F147" t="s">
        <v>420</v>
      </c>
      <c r="G147" s="1">
        <v>7.1999999999999995E-2</v>
      </c>
    </row>
    <row r="148" spans="1:7" x14ac:dyDescent="0.5">
      <c r="A148" t="s">
        <v>268</v>
      </c>
      <c r="B148">
        <v>23.9</v>
      </c>
      <c r="C148">
        <v>23.38</v>
      </c>
      <c r="D148">
        <v>24.86</v>
      </c>
      <c r="E148">
        <v>23.14</v>
      </c>
      <c r="F148" t="s">
        <v>421</v>
      </c>
      <c r="G148" s="1">
        <v>2.8799999999999999E-2</v>
      </c>
    </row>
    <row r="149" spans="1:7" x14ac:dyDescent="0.5">
      <c r="A149" t="s">
        <v>270</v>
      </c>
      <c r="B149">
        <v>23.23</v>
      </c>
      <c r="C149">
        <v>22.64</v>
      </c>
      <c r="D149">
        <v>23.76</v>
      </c>
      <c r="E149">
        <v>22.23</v>
      </c>
      <c r="F149" t="s">
        <v>408</v>
      </c>
      <c r="G149" s="1">
        <v>2.7400000000000001E-2</v>
      </c>
    </row>
    <row r="150" spans="1:7" x14ac:dyDescent="0.5">
      <c r="A150" t="s">
        <v>272</v>
      </c>
      <c r="B150">
        <v>22.61</v>
      </c>
      <c r="C150">
        <v>21.14</v>
      </c>
      <c r="D150">
        <v>23.01</v>
      </c>
      <c r="E150">
        <v>20.73</v>
      </c>
      <c r="F150" t="s">
        <v>422</v>
      </c>
      <c r="G150" s="1">
        <v>7.3099999999999998E-2</v>
      </c>
    </row>
    <row r="151" spans="1:7" x14ac:dyDescent="0.5">
      <c r="A151" t="s">
        <v>274</v>
      </c>
      <c r="B151">
        <v>21.07</v>
      </c>
      <c r="C151">
        <v>19.21</v>
      </c>
      <c r="D151">
        <v>21.41</v>
      </c>
      <c r="E151">
        <v>18.260000000000002</v>
      </c>
      <c r="F151" t="s">
        <v>423</v>
      </c>
      <c r="G151" s="1">
        <v>9.9099999999999994E-2</v>
      </c>
    </row>
    <row r="152" spans="1:7" x14ac:dyDescent="0.5">
      <c r="A152" t="s">
        <v>276</v>
      </c>
      <c r="B152">
        <v>19.170000000000002</v>
      </c>
      <c r="C152">
        <v>18.690000000000001</v>
      </c>
      <c r="D152">
        <v>19.61</v>
      </c>
      <c r="E152">
        <v>18.670000000000002</v>
      </c>
      <c r="F152" t="s">
        <v>424</v>
      </c>
      <c r="G152" s="1">
        <v>2.0199999999999999E-2</v>
      </c>
    </row>
    <row r="153" spans="1:7" x14ac:dyDescent="0.5">
      <c r="A153" t="s">
        <v>278</v>
      </c>
      <c r="B153">
        <v>18.79</v>
      </c>
      <c r="C153">
        <v>17.95</v>
      </c>
      <c r="D153">
        <v>19.690000000000001</v>
      </c>
      <c r="E153">
        <v>17.829999999999998</v>
      </c>
      <c r="F153" t="s">
        <v>425</v>
      </c>
      <c r="G153" s="1">
        <v>5.0900000000000001E-2</v>
      </c>
    </row>
    <row r="154" spans="1:7" x14ac:dyDescent="0.5">
      <c r="A154" t="s">
        <v>280</v>
      </c>
      <c r="B154">
        <v>17.88</v>
      </c>
      <c r="C154">
        <v>19.850000000000001</v>
      </c>
      <c r="D154">
        <v>20.010000000000002</v>
      </c>
      <c r="E154">
        <v>17.63</v>
      </c>
      <c r="F154" t="s">
        <v>426</v>
      </c>
      <c r="G154" s="1">
        <v>-0.10780000000000001</v>
      </c>
    </row>
    <row r="155" spans="1:7" x14ac:dyDescent="0.5">
      <c r="A155" t="s">
        <v>282</v>
      </c>
      <c r="B155">
        <v>20.04</v>
      </c>
      <c r="C155">
        <v>19.93</v>
      </c>
      <c r="D155">
        <v>20.54</v>
      </c>
      <c r="E155">
        <v>19.239999999999998</v>
      </c>
      <c r="F155" t="s">
        <v>427</v>
      </c>
      <c r="G155" s="1">
        <v>9.1000000000000004E-3</v>
      </c>
    </row>
    <row r="156" spans="1:7" x14ac:dyDescent="0.5">
      <c r="A156" t="s">
        <v>284</v>
      </c>
      <c r="B156">
        <v>19.86</v>
      </c>
      <c r="C156">
        <v>18.71</v>
      </c>
      <c r="D156">
        <v>19.940000000000001</v>
      </c>
      <c r="E156">
        <v>18.3</v>
      </c>
      <c r="F156" t="s">
        <v>428</v>
      </c>
      <c r="G156" s="1">
        <v>6.3700000000000007E-2</v>
      </c>
    </row>
    <row r="157" spans="1:7" x14ac:dyDescent="0.5">
      <c r="A157" t="s">
        <v>286</v>
      </c>
      <c r="B157">
        <v>18.670000000000002</v>
      </c>
      <c r="C157">
        <v>17.09</v>
      </c>
      <c r="D157">
        <v>19.260000000000002</v>
      </c>
      <c r="E157">
        <v>17.079999999999998</v>
      </c>
      <c r="F157" t="s">
        <v>429</v>
      </c>
      <c r="G157" s="1">
        <v>9.6299999999999997E-2</v>
      </c>
    </row>
    <row r="158" spans="1:7" x14ac:dyDescent="0.5">
      <c r="A158" t="s">
        <v>288</v>
      </c>
      <c r="B158">
        <v>17.03</v>
      </c>
      <c r="C158">
        <v>17.61</v>
      </c>
      <c r="D158">
        <v>18.14</v>
      </c>
      <c r="E158">
        <v>15.97</v>
      </c>
      <c r="F158" t="s">
        <v>430</v>
      </c>
      <c r="G158" s="1">
        <v>-2.1299999999999999E-2</v>
      </c>
    </row>
    <row r="159" spans="1:7" x14ac:dyDescent="0.5">
      <c r="A159" t="s">
        <v>290</v>
      </c>
      <c r="B159">
        <v>17.399999999999999</v>
      </c>
      <c r="C159">
        <v>16.28</v>
      </c>
      <c r="D159">
        <v>18.350000000000001</v>
      </c>
      <c r="E159">
        <v>16.190000000000001</v>
      </c>
      <c r="F159" t="s">
        <v>431</v>
      </c>
      <c r="G159" s="1">
        <v>7.6700000000000004E-2</v>
      </c>
    </row>
    <row r="160" spans="1:7" x14ac:dyDescent="0.5">
      <c r="A160" t="s">
        <v>292</v>
      </c>
      <c r="B160">
        <v>16.16</v>
      </c>
      <c r="C160">
        <v>14.38</v>
      </c>
      <c r="D160">
        <v>16.329999999999998</v>
      </c>
      <c r="E160">
        <v>14.33</v>
      </c>
      <c r="F160" t="s">
        <v>432</v>
      </c>
      <c r="G160" s="1">
        <v>0.14119999999999999</v>
      </c>
    </row>
    <row r="161" spans="1:7" x14ac:dyDescent="0.5">
      <c r="A161" t="s">
        <v>293</v>
      </c>
      <c r="B161">
        <v>14.16</v>
      </c>
      <c r="C161">
        <v>16.100000000000001</v>
      </c>
      <c r="D161">
        <v>16.23</v>
      </c>
      <c r="E161">
        <v>13.89</v>
      </c>
      <c r="F161" t="s">
        <v>433</v>
      </c>
      <c r="G161" s="1">
        <v>-0.1183</v>
      </c>
    </row>
    <row r="162" spans="1:7" x14ac:dyDescent="0.5">
      <c r="A162" t="s">
        <v>295</v>
      </c>
      <c r="B162">
        <v>16.059999999999999</v>
      </c>
      <c r="C162">
        <v>15.87</v>
      </c>
      <c r="D162">
        <v>16.63</v>
      </c>
      <c r="E162">
        <v>14.96</v>
      </c>
      <c r="F162" t="s">
        <v>434</v>
      </c>
      <c r="G162" s="1">
        <v>1.5800000000000002E-2</v>
      </c>
    </row>
    <row r="163" spans="1:7" x14ac:dyDescent="0.5">
      <c r="A163" t="s">
        <v>297</v>
      </c>
      <c r="B163">
        <v>15.81</v>
      </c>
      <c r="C163">
        <v>15.78</v>
      </c>
      <c r="D163">
        <v>15.9</v>
      </c>
      <c r="E163">
        <v>13.75</v>
      </c>
      <c r="F163" t="s">
        <v>435</v>
      </c>
      <c r="G163" s="1">
        <v>0</v>
      </c>
    </row>
    <row r="164" spans="1:7" x14ac:dyDescent="0.5">
      <c r="A164" t="s">
        <v>299</v>
      </c>
      <c r="B164">
        <v>15.81</v>
      </c>
      <c r="C164">
        <v>15.64</v>
      </c>
      <c r="D164">
        <v>16.78</v>
      </c>
      <c r="E164">
        <v>14.96</v>
      </c>
      <c r="F164" t="s">
        <v>436</v>
      </c>
      <c r="G164" s="1">
        <v>3.2000000000000002E-3</v>
      </c>
    </row>
    <row r="165" spans="1:7" x14ac:dyDescent="0.5">
      <c r="A165" t="s">
        <v>301</v>
      </c>
      <c r="B165">
        <v>15.76</v>
      </c>
      <c r="C165">
        <v>16.399999999999999</v>
      </c>
      <c r="D165">
        <v>17.32</v>
      </c>
      <c r="E165">
        <v>15.63</v>
      </c>
      <c r="F165" t="s">
        <v>437</v>
      </c>
      <c r="G165" s="1">
        <v>-3.1300000000000001E-2</v>
      </c>
    </row>
    <row r="166" spans="1:7" x14ac:dyDescent="0.5">
      <c r="A166" t="s">
        <v>303</v>
      </c>
      <c r="B166">
        <v>16.27</v>
      </c>
      <c r="C166">
        <v>19.78</v>
      </c>
      <c r="D166">
        <v>19.82</v>
      </c>
      <c r="E166">
        <v>15.54</v>
      </c>
      <c r="F166" t="s">
        <v>438</v>
      </c>
      <c r="G166" s="1">
        <v>-0.14410000000000001</v>
      </c>
    </row>
    <row r="167" spans="1:7" x14ac:dyDescent="0.5">
      <c r="A167" t="s">
        <v>305</v>
      </c>
      <c r="B167">
        <v>19.010000000000002</v>
      </c>
      <c r="C167">
        <v>21.2</v>
      </c>
      <c r="D167">
        <v>21.24</v>
      </c>
      <c r="E167">
        <v>17.899999999999999</v>
      </c>
      <c r="F167" t="s">
        <v>439</v>
      </c>
      <c r="G167" s="1">
        <v>-9.0399999999999994E-2</v>
      </c>
    </row>
    <row r="168" spans="1:7" x14ac:dyDescent="0.5">
      <c r="A168" t="s">
        <v>307</v>
      </c>
      <c r="B168">
        <v>20.9</v>
      </c>
      <c r="C168">
        <v>21.36</v>
      </c>
      <c r="D168">
        <v>21.54</v>
      </c>
      <c r="E168">
        <v>18.059999999999999</v>
      </c>
      <c r="F168" t="s">
        <v>440</v>
      </c>
      <c r="G168" s="1">
        <v>-1.6899999999999998E-2</v>
      </c>
    </row>
    <row r="169" spans="1:7" x14ac:dyDescent="0.5">
      <c r="A169" t="s">
        <v>309</v>
      </c>
      <c r="B169">
        <v>21.26</v>
      </c>
      <c r="C169">
        <v>23.97</v>
      </c>
      <c r="D169">
        <v>24.17</v>
      </c>
      <c r="E169">
        <v>20.99</v>
      </c>
      <c r="F169" t="s">
        <v>439</v>
      </c>
      <c r="G169" s="1">
        <v>-0.10780000000000001</v>
      </c>
    </row>
    <row r="170" spans="1:7" x14ac:dyDescent="0.5">
      <c r="A170" t="s">
        <v>311</v>
      </c>
      <c r="B170">
        <v>23.83</v>
      </c>
      <c r="C170">
        <v>23.78</v>
      </c>
      <c r="D170">
        <v>25.18</v>
      </c>
      <c r="E170">
        <v>23.43</v>
      </c>
      <c r="F170" t="s">
        <v>441</v>
      </c>
      <c r="G170" s="1">
        <v>2.8999999999999998E-3</v>
      </c>
    </row>
    <row r="171" spans="1:7" x14ac:dyDescent="0.5">
      <c r="A171" t="s">
        <v>313</v>
      </c>
      <c r="B171">
        <v>23.76</v>
      </c>
      <c r="C171">
        <v>22</v>
      </c>
      <c r="D171">
        <v>24.32</v>
      </c>
      <c r="E171">
        <v>21.44</v>
      </c>
      <c r="F171" t="s">
        <v>442</v>
      </c>
      <c r="G171" s="1">
        <v>8.9399999999999993E-2</v>
      </c>
    </row>
    <row r="172" spans="1:7" x14ac:dyDescent="0.5">
      <c r="A172" t="s">
        <v>315</v>
      </c>
      <c r="B172">
        <v>21.81</v>
      </c>
      <c r="C172">
        <v>20.88</v>
      </c>
      <c r="D172">
        <v>22.14</v>
      </c>
      <c r="E172">
        <v>20.36</v>
      </c>
      <c r="F172" t="s">
        <v>443</v>
      </c>
      <c r="G172" s="1">
        <v>4.5499999999999999E-2</v>
      </c>
    </row>
    <row r="173" spans="1:7" x14ac:dyDescent="0.5">
      <c r="A173" t="s">
        <v>317</v>
      </c>
      <c r="B173">
        <v>20.86</v>
      </c>
      <c r="C173">
        <v>20.329999999999998</v>
      </c>
      <c r="D173">
        <v>21.07</v>
      </c>
      <c r="E173">
        <v>19.59</v>
      </c>
      <c r="F173" t="s">
        <v>444</v>
      </c>
      <c r="G173" s="1">
        <v>1.11E-2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6037-87A3-3A4B-842B-7D6C19AEF62E}">
  <dimension ref="A1:G173"/>
  <sheetViews>
    <sheetView workbookViewId="0">
      <selection activeCell="B16" sqref="B16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493.78</v>
      </c>
      <c r="C2">
        <v>497.52</v>
      </c>
      <c r="D2">
        <v>515.65</v>
      </c>
      <c r="E2">
        <v>486</v>
      </c>
      <c r="F2" t="s">
        <v>1502</v>
      </c>
      <c r="G2" s="1">
        <v>-2.6599999999999999E-2</v>
      </c>
    </row>
    <row r="3" spans="1:7" x14ac:dyDescent="0.5">
      <c r="A3" s="3">
        <v>46235</v>
      </c>
      <c r="B3">
        <v>507.29</v>
      </c>
      <c r="C3">
        <v>476.13</v>
      </c>
      <c r="D3">
        <v>517.78</v>
      </c>
      <c r="E3">
        <v>475</v>
      </c>
      <c r="F3" t="s">
        <v>1503</v>
      </c>
      <c r="G3" s="1">
        <v>9.1600000000000001E-2</v>
      </c>
    </row>
    <row r="4" spans="1:7" x14ac:dyDescent="0.5">
      <c r="A4" s="3">
        <v>46204</v>
      </c>
      <c r="B4">
        <v>464.72</v>
      </c>
      <c r="C4">
        <v>380.83</v>
      </c>
      <c r="D4">
        <v>466.84</v>
      </c>
      <c r="E4">
        <v>373.35</v>
      </c>
      <c r="F4" t="s">
        <v>1504</v>
      </c>
      <c r="G4" s="1">
        <v>0.24579999999999999</v>
      </c>
    </row>
    <row r="5" spans="1:7" x14ac:dyDescent="0.5">
      <c r="A5" s="3">
        <v>46174</v>
      </c>
      <c r="B5">
        <v>373.02</v>
      </c>
      <c r="C5">
        <v>464.84</v>
      </c>
      <c r="D5">
        <v>466.32</v>
      </c>
      <c r="E5">
        <v>349.2</v>
      </c>
      <c r="F5" t="s">
        <v>34</v>
      </c>
      <c r="G5" s="1">
        <v>-0.17150000000000001</v>
      </c>
    </row>
    <row r="6" spans="1:7" x14ac:dyDescent="0.5">
      <c r="A6" s="3">
        <v>46143</v>
      </c>
      <c r="B6">
        <v>450.24</v>
      </c>
      <c r="C6">
        <v>412.8</v>
      </c>
      <c r="D6">
        <v>450.33</v>
      </c>
      <c r="E6">
        <v>400.88</v>
      </c>
      <c r="F6" t="s">
        <v>1505</v>
      </c>
      <c r="G6" s="1">
        <v>0.1041</v>
      </c>
    </row>
    <row r="7" spans="1:7" x14ac:dyDescent="0.5">
      <c r="A7" s="3">
        <v>46113</v>
      </c>
      <c r="B7">
        <v>407.78</v>
      </c>
      <c r="C7">
        <v>373.49</v>
      </c>
      <c r="D7">
        <v>433.7</v>
      </c>
      <c r="E7">
        <v>364.15</v>
      </c>
      <c r="F7" t="s">
        <v>1506</v>
      </c>
      <c r="G7" s="1">
        <v>0.1016</v>
      </c>
    </row>
    <row r="8" spans="1:7" x14ac:dyDescent="0.5">
      <c r="A8" s="3">
        <v>46082</v>
      </c>
      <c r="B8">
        <v>370.17</v>
      </c>
      <c r="C8">
        <v>392.86</v>
      </c>
      <c r="D8">
        <v>413.05</v>
      </c>
      <c r="E8">
        <v>356.28</v>
      </c>
      <c r="F8" t="s">
        <v>1507</v>
      </c>
      <c r="G8" s="1">
        <v>-5.7500000000000002E-2</v>
      </c>
    </row>
    <row r="9" spans="1:7" x14ac:dyDescent="0.5">
      <c r="A9" s="3">
        <v>46054</v>
      </c>
      <c r="B9">
        <v>392.74</v>
      </c>
      <c r="C9">
        <v>430.23</v>
      </c>
      <c r="D9">
        <v>430.74</v>
      </c>
      <c r="E9">
        <v>381.71</v>
      </c>
      <c r="F9" t="s">
        <v>1508</v>
      </c>
      <c r="G9" s="1">
        <v>-8.7300000000000003E-2</v>
      </c>
    </row>
    <row r="10" spans="1:7" x14ac:dyDescent="0.5">
      <c r="A10" s="3">
        <v>46023</v>
      </c>
      <c r="B10">
        <v>430.29</v>
      </c>
      <c r="C10">
        <v>484.39</v>
      </c>
      <c r="D10">
        <v>489.7</v>
      </c>
      <c r="E10">
        <v>421.02</v>
      </c>
      <c r="F10" t="s">
        <v>1509</v>
      </c>
      <c r="G10" s="1">
        <v>-0.1103</v>
      </c>
    </row>
    <row r="11" spans="1:7" x14ac:dyDescent="0.5">
      <c r="A11" s="3">
        <v>45992</v>
      </c>
      <c r="B11">
        <v>483.62</v>
      </c>
      <c r="C11">
        <v>488.43</v>
      </c>
      <c r="D11">
        <v>493.5</v>
      </c>
      <c r="E11">
        <v>470.88</v>
      </c>
      <c r="F11" t="s">
        <v>1510</v>
      </c>
      <c r="G11" s="1">
        <v>-1.7100000000000001E-2</v>
      </c>
    </row>
    <row r="12" spans="1:7" x14ac:dyDescent="0.5">
      <c r="A12" s="3">
        <v>45962</v>
      </c>
      <c r="B12">
        <v>492.01</v>
      </c>
      <c r="C12">
        <v>519.79999999999995</v>
      </c>
      <c r="D12">
        <v>524.96</v>
      </c>
      <c r="E12">
        <v>464.89</v>
      </c>
      <c r="F12" t="s">
        <v>1511</v>
      </c>
      <c r="G12" s="1">
        <v>-4.9799999999999997E-2</v>
      </c>
    </row>
    <row r="13" spans="1:7" x14ac:dyDescent="0.5">
      <c r="A13" s="3">
        <v>45931</v>
      </c>
      <c r="B13">
        <v>517.80999999999995</v>
      </c>
      <c r="C13">
        <v>514.79999999999995</v>
      </c>
      <c r="D13">
        <v>553.72</v>
      </c>
      <c r="E13">
        <v>506</v>
      </c>
      <c r="F13" t="s">
        <v>1463</v>
      </c>
      <c r="G13" s="1">
        <v>-2.9999999999999997E-4</v>
      </c>
    </row>
    <row r="14" spans="1:7" x14ac:dyDescent="0.5">
      <c r="A14" s="3">
        <v>45901</v>
      </c>
      <c r="B14">
        <v>517.95000000000005</v>
      </c>
      <c r="C14">
        <v>500.46</v>
      </c>
      <c r="D14">
        <v>519.29999999999995</v>
      </c>
      <c r="E14">
        <v>492.37</v>
      </c>
      <c r="F14" t="s">
        <v>1464</v>
      </c>
      <c r="G14" s="1">
        <v>2.2200000000000001E-2</v>
      </c>
    </row>
    <row r="15" spans="1:7" x14ac:dyDescent="0.5">
      <c r="A15" s="3">
        <v>45870</v>
      </c>
      <c r="B15">
        <v>506.69</v>
      </c>
      <c r="C15">
        <v>535</v>
      </c>
      <c r="D15">
        <v>538.25</v>
      </c>
      <c r="E15">
        <v>498.51</v>
      </c>
      <c r="F15" t="s">
        <v>1465</v>
      </c>
      <c r="G15" s="1">
        <v>-5.0299999999999997E-2</v>
      </c>
    </row>
    <row r="16" spans="1:7" x14ac:dyDescent="0.5">
      <c r="A16" s="3">
        <v>45839</v>
      </c>
      <c r="B16">
        <v>533.5</v>
      </c>
      <c r="C16">
        <v>496.47</v>
      </c>
      <c r="D16">
        <v>555.45000000000005</v>
      </c>
      <c r="E16">
        <v>488.7</v>
      </c>
      <c r="F16" t="s">
        <v>1466</v>
      </c>
      <c r="G16" s="1">
        <v>7.2599999999999998E-2</v>
      </c>
    </row>
    <row r="17" spans="1:7" x14ac:dyDescent="0.5">
      <c r="A17" t="s">
        <v>7</v>
      </c>
      <c r="B17">
        <v>497.41</v>
      </c>
      <c r="C17">
        <v>457.14</v>
      </c>
      <c r="D17">
        <v>500.76</v>
      </c>
      <c r="E17">
        <v>456.89</v>
      </c>
      <c r="F17" t="s">
        <v>446</v>
      </c>
      <c r="G17" s="1">
        <v>8.0500000000000002E-2</v>
      </c>
    </row>
    <row r="18" spans="1:7" x14ac:dyDescent="0.5">
      <c r="A18" t="s">
        <v>9</v>
      </c>
      <c r="B18">
        <v>460.36</v>
      </c>
      <c r="C18">
        <v>431.11</v>
      </c>
      <c r="D18">
        <v>462.52</v>
      </c>
      <c r="E18">
        <v>424.9</v>
      </c>
      <c r="F18" t="s">
        <v>447</v>
      </c>
      <c r="G18" s="1">
        <v>0.16470000000000001</v>
      </c>
    </row>
    <row r="19" spans="1:7" x14ac:dyDescent="0.5">
      <c r="A19" t="s">
        <v>11</v>
      </c>
      <c r="B19">
        <v>395.26</v>
      </c>
      <c r="C19">
        <v>374.65</v>
      </c>
      <c r="D19">
        <v>396.66</v>
      </c>
      <c r="E19">
        <v>344.79</v>
      </c>
      <c r="F19" t="s">
        <v>448</v>
      </c>
      <c r="G19" s="1">
        <v>5.2900000000000003E-2</v>
      </c>
    </row>
    <row r="20" spans="1:7" x14ac:dyDescent="0.5">
      <c r="A20" t="s">
        <v>13</v>
      </c>
      <c r="B20">
        <v>375.39</v>
      </c>
      <c r="C20">
        <v>398.82</v>
      </c>
      <c r="D20">
        <v>402.15</v>
      </c>
      <c r="E20">
        <v>367.24</v>
      </c>
      <c r="F20" t="s">
        <v>449</v>
      </c>
      <c r="G20" s="1">
        <v>-5.4399999999999997E-2</v>
      </c>
    </row>
    <row r="21" spans="1:7" x14ac:dyDescent="0.5">
      <c r="A21" t="s">
        <v>15</v>
      </c>
      <c r="B21">
        <v>396.99</v>
      </c>
      <c r="C21">
        <v>411.6</v>
      </c>
      <c r="D21">
        <v>419.31</v>
      </c>
      <c r="E21">
        <v>386.57</v>
      </c>
      <c r="F21" t="s">
        <v>450</v>
      </c>
      <c r="G21" s="1">
        <v>-4.3499999999999997E-2</v>
      </c>
    </row>
    <row r="22" spans="1:7" x14ac:dyDescent="0.5">
      <c r="A22" t="s">
        <v>17</v>
      </c>
      <c r="B22">
        <v>415.06</v>
      </c>
      <c r="C22">
        <v>425.53</v>
      </c>
      <c r="D22">
        <v>448.38</v>
      </c>
      <c r="E22">
        <v>410.72</v>
      </c>
      <c r="F22" t="s">
        <v>451</v>
      </c>
      <c r="G22" s="1">
        <v>-1.5299999999999999E-2</v>
      </c>
    </row>
    <row r="23" spans="1:7" x14ac:dyDescent="0.5">
      <c r="A23" t="s">
        <v>19</v>
      </c>
      <c r="B23">
        <v>421.5</v>
      </c>
      <c r="C23">
        <v>421.57</v>
      </c>
      <c r="D23">
        <v>456.16</v>
      </c>
      <c r="E23">
        <v>420.66</v>
      </c>
      <c r="F23" t="s">
        <v>452</v>
      </c>
      <c r="G23" s="1">
        <v>-4.5999999999999999E-3</v>
      </c>
    </row>
    <row r="24" spans="1:7" x14ac:dyDescent="0.5">
      <c r="A24" t="s">
        <v>21</v>
      </c>
      <c r="B24">
        <v>423.46</v>
      </c>
      <c r="C24">
        <v>409.01</v>
      </c>
      <c r="D24">
        <v>429.33</v>
      </c>
      <c r="E24">
        <v>405.57</v>
      </c>
      <c r="F24" t="s">
        <v>453</v>
      </c>
      <c r="G24" s="1">
        <v>4.2099999999999999E-2</v>
      </c>
    </row>
    <row r="25" spans="1:7" x14ac:dyDescent="0.5">
      <c r="A25" t="s">
        <v>23</v>
      </c>
      <c r="B25">
        <v>406.35</v>
      </c>
      <c r="C25">
        <v>428.45</v>
      </c>
      <c r="D25">
        <v>438.5</v>
      </c>
      <c r="E25">
        <v>406.3</v>
      </c>
      <c r="F25" t="s">
        <v>454</v>
      </c>
      <c r="G25" s="1">
        <v>-5.57E-2</v>
      </c>
    </row>
    <row r="26" spans="1:7" x14ac:dyDescent="0.5">
      <c r="A26" t="s">
        <v>25</v>
      </c>
      <c r="B26">
        <v>430.3</v>
      </c>
      <c r="C26">
        <v>417.91</v>
      </c>
      <c r="D26">
        <v>441.85</v>
      </c>
      <c r="E26">
        <v>400.8</v>
      </c>
      <c r="F26" t="s">
        <v>455</v>
      </c>
      <c r="G26" s="1">
        <v>3.15E-2</v>
      </c>
    </row>
    <row r="27" spans="1:7" x14ac:dyDescent="0.5">
      <c r="A27" t="s">
        <v>27</v>
      </c>
      <c r="B27">
        <v>417.14</v>
      </c>
      <c r="C27">
        <v>420.79</v>
      </c>
      <c r="D27">
        <v>427.46</v>
      </c>
      <c r="E27">
        <v>385.58</v>
      </c>
      <c r="F27" t="s">
        <v>456</v>
      </c>
      <c r="G27" s="1">
        <v>-2.8999999999999998E-3</v>
      </c>
    </row>
    <row r="28" spans="1:7" x14ac:dyDescent="0.5">
      <c r="A28" t="s">
        <v>29</v>
      </c>
      <c r="B28">
        <v>418.35</v>
      </c>
      <c r="C28">
        <v>448.66</v>
      </c>
      <c r="D28">
        <v>468.35</v>
      </c>
      <c r="E28">
        <v>412.21</v>
      </c>
      <c r="F28" t="s">
        <v>457</v>
      </c>
      <c r="G28" s="1">
        <v>-6.4000000000000001E-2</v>
      </c>
    </row>
    <row r="29" spans="1:7" x14ac:dyDescent="0.5">
      <c r="A29" t="s">
        <v>31</v>
      </c>
      <c r="B29">
        <v>446.95</v>
      </c>
      <c r="C29">
        <v>415.52</v>
      </c>
      <c r="D29">
        <v>456.17</v>
      </c>
      <c r="E29">
        <v>408.92</v>
      </c>
      <c r="F29" t="s">
        <v>458</v>
      </c>
      <c r="G29" s="1">
        <v>7.6700000000000004E-2</v>
      </c>
    </row>
    <row r="30" spans="1:7" x14ac:dyDescent="0.5">
      <c r="A30" t="s">
        <v>33</v>
      </c>
      <c r="B30">
        <v>415.13</v>
      </c>
      <c r="C30">
        <v>392.61</v>
      </c>
      <c r="D30">
        <v>433.6</v>
      </c>
      <c r="E30">
        <v>390.31</v>
      </c>
      <c r="F30" t="s">
        <v>459</v>
      </c>
      <c r="G30" s="1">
        <v>6.6299999999999998E-2</v>
      </c>
    </row>
    <row r="31" spans="1:7" x14ac:dyDescent="0.5">
      <c r="A31" t="s">
        <v>35</v>
      </c>
      <c r="B31">
        <v>389.33</v>
      </c>
      <c r="C31">
        <v>423.95</v>
      </c>
      <c r="D31">
        <v>429.37</v>
      </c>
      <c r="E31">
        <v>388.03</v>
      </c>
      <c r="F31" t="s">
        <v>460</v>
      </c>
      <c r="G31" s="1">
        <v>-7.46E-2</v>
      </c>
    </row>
    <row r="32" spans="1:7" x14ac:dyDescent="0.5">
      <c r="A32" t="s">
        <v>37</v>
      </c>
      <c r="B32">
        <v>420.72</v>
      </c>
      <c r="C32">
        <v>411.27</v>
      </c>
      <c r="D32">
        <v>430.82</v>
      </c>
      <c r="E32">
        <v>398.39</v>
      </c>
      <c r="F32" t="s">
        <v>461</v>
      </c>
      <c r="G32" s="1">
        <v>1.7100000000000001E-2</v>
      </c>
    </row>
    <row r="33" spans="1:7" x14ac:dyDescent="0.5">
      <c r="A33" t="s">
        <v>39</v>
      </c>
      <c r="B33">
        <v>413.64</v>
      </c>
      <c r="C33">
        <v>401.83</v>
      </c>
      <c r="D33">
        <v>420.82</v>
      </c>
      <c r="E33">
        <v>397.22</v>
      </c>
      <c r="F33" t="s">
        <v>462</v>
      </c>
      <c r="G33" s="1">
        <v>4.0399999999999998E-2</v>
      </c>
    </row>
    <row r="34" spans="1:7" x14ac:dyDescent="0.5">
      <c r="A34" t="s">
        <v>41</v>
      </c>
      <c r="B34">
        <v>397.58</v>
      </c>
      <c r="C34">
        <v>373.86</v>
      </c>
      <c r="D34">
        <v>415.32</v>
      </c>
      <c r="E34">
        <v>366.5</v>
      </c>
      <c r="F34" t="s">
        <v>463</v>
      </c>
      <c r="G34" s="1">
        <v>5.7299999999999997E-2</v>
      </c>
    </row>
    <row r="35" spans="1:7" x14ac:dyDescent="0.5">
      <c r="A35" t="s">
        <v>43</v>
      </c>
      <c r="B35">
        <v>376.04</v>
      </c>
      <c r="C35">
        <v>376.76</v>
      </c>
      <c r="D35">
        <v>378.16</v>
      </c>
      <c r="E35">
        <v>362.9</v>
      </c>
      <c r="F35" t="s">
        <v>464</v>
      </c>
      <c r="G35" s="1">
        <v>-7.6E-3</v>
      </c>
    </row>
    <row r="36" spans="1:7" x14ac:dyDescent="0.5">
      <c r="A36" t="s">
        <v>45</v>
      </c>
      <c r="B36">
        <v>378.91</v>
      </c>
      <c r="C36">
        <v>339.79</v>
      </c>
      <c r="D36">
        <v>384.3</v>
      </c>
      <c r="E36">
        <v>339.65</v>
      </c>
      <c r="F36" t="s">
        <v>465</v>
      </c>
      <c r="G36" s="1">
        <v>0.1207</v>
      </c>
    </row>
    <row r="37" spans="1:7" x14ac:dyDescent="0.5">
      <c r="A37" t="s">
        <v>47</v>
      </c>
      <c r="B37">
        <v>338.11</v>
      </c>
      <c r="C37">
        <v>316.27999999999997</v>
      </c>
      <c r="D37">
        <v>346.2</v>
      </c>
      <c r="E37">
        <v>311.20999999999998</v>
      </c>
      <c r="F37" t="s">
        <v>466</v>
      </c>
      <c r="G37" s="1">
        <v>7.0800000000000002E-2</v>
      </c>
    </row>
    <row r="38" spans="1:7" x14ac:dyDescent="0.5">
      <c r="A38" t="s">
        <v>49</v>
      </c>
      <c r="B38">
        <v>315.75</v>
      </c>
      <c r="C38">
        <v>331.31</v>
      </c>
      <c r="D38">
        <v>340.86</v>
      </c>
      <c r="E38">
        <v>309.45</v>
      </c>
      <c r="F38" t="s">
        <v>467</v>
      </c>
      <c r="G38" s="1">
        <v>-3.6600000000000001E-2</v>
      </c>
    </row>
    <row r="39" spans="1:7" x14ac:dyDescent="0.5">
      <c r="A39" t="s">
        <v>51</v>
      </c>
      <c r="B39">
        <v>327.76</v>
      </c>
      <c r="C39">
        <v>335.19</v>
      </c>
      <c r="D39">
        <v>338.54</v>
      </c>
      <c r="E39">
        <v>311.55</v>
      </c>
      <c r="F39" t="s">
        <v>468</v>
      </c>
      <c r="G39" s="1">
        <v>-2.4299999999999999E-2</v>
      </c>
    </row>
    <row r="40" spans="1:7" x14ac:dyDescent="0.5">
      <c r="A40" t="s">
        <v>53</v>
      </c>
      <c r="B40">
        <v>335.92</v>
      </c>
      <c r="C40">
        <v>339.19</v>
      </c>
      <c r="D40">
        <v>366.78</v>
      </c>
      <c r="E40">
        <v>327</v>
      </c>
      <c r="F40" t="s">
        <v>469</v>
      </c>
      <c r="G40" s="1">
        <v>-1.3599999999999999E-2</v>
      </c>
    </row>
    <row r="41" spans="1:7" x14ac:dyDescent="0.5">
      <c r="A41" t="s">
        <v>55</v>
      </c>
      <c r="B41">
        <v>340.54</v>
      </c>
      <c r="C41">
        <v>325.93</v>
      </c>
      <c r="D41">
        <v>351.47</v>
      </c>
      <c r="E41">
        <v>322.5</v>
      </c>
      <c r="F41" t="s">
        <v>470</v>
      </c>
      <c r="G41" s="1">
        <v>3.6999999999999998E-2</v>
      </c>
    </row>
    <row r="42" spans="1:7" x14ac:dyDescent="0.5">
      <c r="A42" t="s">
        <v>57</v>
      </c>
      <c r="B42">
        <v>328.39</v>
      </c>
      <c r="C42">
        <v>306.97000000000003</v>
      </c>
      <c r="D42">
        <v>335.94</v>
      </c>
      <c r="E42">
        <v>303.39999999999998</v>
      </c>
      <c r="F42" t="s">
        <v>471</v>
      </c>
      <c r="G42" s="1">
        <v>6.88E-2</v>
      </c>
    </row>
    <row r="43" spans="1:7" x14ac:dyDescent="0.5">
      <c r="A43" t="s">
        <v>59</v>
      </c>
      <c r="B43">
        <v>307.26</v>
      </c>
      <c r="C43">
        <v>286.52</v>
      </c>
      <c r="D43">
        <v>308.93</v>
      </c>
      <c r="E43">
        <v>275.37</v>
      </c>
      <c r="F43" t="s">
        <v>472</v>
      </c>
      <c r="G43" s="1">
        <v>6.5799999999999997E-2</v>
      </c>
    </row>
    <row r="44" spans="1:7" x14ac:dyDescent="0.5">
      <c r="A44" t="s">
        <v>61</v>
      </c>
      <c r="B44">
        <v>288.3</v>
      </c>
      <c r="C44">
        <v>250.76</v>
      </c>
      <c r="D44">
        <v>289.27</v>
      </c>
      <c r="E44">
        <v>245.61</v>
      </c>
      <c r="F44" t="s">
        <v>473</v>
      </c>
      <c r="G44" s="1">
        <v>0.15590000000000001</v>
      </c>
    </row>
    <row r="45" spans="1:7" x14ac:dyDescent="0.5">
      <c r="A45" t="s">
        <v>62</v>
      </c>
      <c r="B45">
        <v>249.42</v>
      </c>
      <c r="C45">
        <v>248</v>
      </c>
      <c r="D45">
        <v>276.76</v>
      </c>
      <c r="E45">
        <v>245.47</v>
      </c>
      <c r="F45" t="s">
        <v>474</v>
      </c>
      <c r="G45" s="1">
        <v>6.4999999999999997E-3</v>
      </c>
    </row>
    <row r="46" spans="1:7" x14ac:dyDescent="0.5">
      <c r="A46" t="s">
        <v>64</v>
      </c>
      <c r="B46">
        <v>247.81</v>
      </c>
      <c r="C46">
        <v>243.08</v>
      </c>
      <c r="D46">
        <v>249.83</v>
      </c>
      <c r="E46">
        <v>219.35</v>
      </c>
      <c r="F46" t="s">
        <v>475</v>
      </c>
      <c r="G46" s="1">
        <v>3.3300000000000003E-2</v>
      </c>
    </row>
    <row r="47" spans="1:7" x14ac:dyDescent="0.5">
      <c r="A47" t="s">
        <v>66</v>
      </c>
      <c r="B47">
        <v>239.82</v>
      </c>
      <c r="C47">
        <v>253.87</v>
      </c>
      <c r="D47">
        <v>263.92</v>
      </c>
      <c r="E47">
        <v>233.87</v>
      </c>
      <c r="F47" t="s">
        <v>476</v>
      </c>
      <c r="G47" s="1">
        <v>-0.06</v>
      </c>
    </row>
    <row r="48" spans="1:7" x14ac:dyDescent="0.5">
      <c r="A48" t="s">
        <v>68</v>
      </c>
      <c r="B48">
        <v>255.14</v>
      </c>
      <c r="C48">
        <v>234.6</v>
      </c>
      <c r="D48">
        <v>255.33</v>
      </c>
      <c r="E48">
        <v>213.43</v>
      </c>
      <c r="F48" t="s">
        <v>477</v>
      </c>
      <c r="G48" s="1">
        <v>9.9099999999999994E-2</v>
      </c>
    </row>
    <row r="49" spans="1:7" x14ac:dyDescent="0.5">
      <c r="A49" t="s">
        <v>70</v>
      </c>
      <c r="B49">
        <v>232.13</v>
      </c>
      <c r="C49">
        <v>235.41</v>
      </c>
      <c r="D49">
        <v>251.04</v>
      </c>
      <c r="E49">
        <v>219.13</v>
      </c>
      <c r="F49" t="s">
        <v>478</v>
      </c>
      <c r="G49" s="1">
        <v>-3.3E-3</v>
      </c>
    </row>
    <row r="50" spans="1:7" x14ac:dyDescent="0.5">
      <c r="A50" t="s">
        <v>72</v>
      </c>
      <c r="B50">
        <v>232.9</v>
      </c>
      <c r="C50">
        <v>258.87</v>
      </c>
      <c r="D50">
        <v>267.45</v>
      </c>
      <c r="E50">
        <v>232.73</v>
      </c>
      <c r="F50" t="s">
        <v>479</v>
      </c>
      <c r="G50" s="1">
        <v>-0.10929999999999999</v>
      </c>
    </row>
    <row r="51" spans="1:7" x14ac:dyDescent="0.5">
      <c r="A51" t="s">
        <v>74</v>
      </c>
      <c r="B51">
        <v>261.47000000000003</v>
      </c>
      <c r="C51">
        <v>277.82</v>
      </c>
      <c r="D51">
        <v>294.18</v>
      </c>
      <c r="E51">
        <v>260.66000000000003</v>
      </c>
      <c r="F51" t="s">
        <v>480</v>
      </c>
      <c r="G51" s="1">
        <v>-6.8599999999999994E-2</v>
      </c>
    </row>
    <row r="52" spans="1:7" x14ac:dyDescent="0.5">
      <c r="A52" t="s">
        <v>76</v>
      </c>
      <c r="B52">
        <v>280.74</v>
      </c>
      <c r="C52">
        <v>256.39</v>
      </c>
      <c r="D52">
        <v>282</v>
      </c>
      <c r="E52">
        <v>245.94</v>
      </c>
      <c r="F52" t="s">
        <v>481</v>
      </c>
      <c r="G52" s="1">
        <v>9.3100000000000002E-2</v>
      </c>
    </row>
    <row r="53" spans="1:7" x14ac:dyDescent="0.5">
      <c r="A53" t="s">
        <v>78</v>
      </c>
      <c r="B53">
        <v>256.83</v>
      </c>
      <c r="C53">
        <v>275.19</v>
      </c>
      <c r="D53">
        <v>277.69</v>
      </c>
      <c r="E53">
        <v>241.51</v>
      </c>
      <c r="F53" t="s">
        <v>482</v>
      </c>
      <c r="G53" s="1">
        <v>-5.5300000000000002E-2</v>
      </c>
    </row>
    <row r="54" spans="1:7" x14ac:dyDescent="0.5">
      <c r="A54" t="s">
        <v>80</v>
      </c>
      <c r="B54">
        <v>271.87</v>
      </c>
      <c r="C54">
        <v>277.70999999999998</v>
      </c>
      <c r="D54">
        <v>290.88</v>
      </c>
      <c r="E54">
        <v>246.44</v>
      </c>
      <c r="F54" t="s">
        <v>483</v>
      </c>
      <c r="G54" s="1">
        <v>-2.0400000000000001E-2</v>
      </c>
    </row>
    <row r="55" spans="1:7" x14ac:dyDescent="0.5">
      <c r="A55" t="s">
        <v>82</v>
      </c>
      <c r="B55">
        <v>277.52</v>
      </c>
      <c r="C55">
        <v>309.37</v>
      </c>
      <c r="D55">
        <v>315.11</v>
      </c>
      <c r="E55">
        <v>270</v>
      </c>
      <c r="F55" t="s">
        <v>484</v>
      </c>
      <c r="G55" s="1">
        <v>-9.9900000000000003E-2</v>
      </c>
    </row>
    <row r="56" spans="1:7" x14ac:dyDescent="0.5">
      <c r="A56" t="s">
        <v>84</v>
      </c>
      <c r="B56">
        <v>308.31</v>
      </c>
      <c r="C56">
        <v>296.39999999999998</v>
      </c>
      <c r="D56">
        <v>315.95</v>
      </c>
      <c r="E56">
        <v>270</v>
      </c>
      <c r="F56" t="s">
        <v>485</v>
      </c>
      <c r="G56" s="1">
        <v>3.1899999999999998E-2</v>
      </c>
    </row>
    <row r="57" spans="1:7" x14ac:dyDescent="0.5">
      <c r="A57" t="s">
        <v>86</v>
      </c>
      <c r="B57">
        <v>298.79000000000002</v>
      </c>
      <c r="C57">
        <v>310.41000000000003</v>
      </c>
      <c r="D57">
        <v>315.12</v>
      </c>
      <c r="E57">
        <v>271.52</v>
      </c>
      <c r="F57" t="s">
        <v>486</v>
      </c>
      <c r="G57" s="1">
        <v>-3.9199999999999999E-2</v>
      </c>
    </row>
    <row r="58" spans="1:7" x14ac:dyDescent="0.5">
      <c r="A58" t="s">
        <v>88</v>
      </c>
      <c r="B58">
        <v>310.98</v>
      </c>
      <c r="C58">
        <v>335.35</v>
      </c>
      <c r="D58">
        <v>338</v>
      </c>
      <c r="E58">
        <v>276.05</v>
      </c>
      <c r="F58" t="s">
        <v>487</v>
      </c>
      <c r="G58" s="1">
        <v>-7.5300000000000006E-2</v>
      </c>
    </row>
    <row r="59" spans="1:7" x14ac:dyDescent="0.5">
      <c r="A59" t="s">
        <v>90</v>
      </c>
      <c r="B59">
        <v>336.32</v>
      </c>
      <c r="C59">
        <v>335.13</v>
      </c>
      <c r="D59">
        <v>344.3</v>
      </c>
      <c r="E59">
        <v>317.25</v>
      </c>
      <c r="F59" t="s">
        <v>488</v>
      </c>
      <c r="G59" s="1">
        <v>1.7299999999999999E-2</v>
      </c>
    </row>
    <row r="60" spans="1:7" x14ac:dyDescent="0.5">
      <c r="A60" t="s">
        <v>92</v>
      </c>
      <c r="B60">
        <v>330.59</v>
      </c>
      <c r="C60">
        <v>331.36</v>
      </c>
      <c r="D60">
        <v>349.67</v>
      </c>
      <c r="E60">
        <v>326.37</v>
      </c>
      <c r="F60" t="s">
        <v>489</v>
      </c>
      <c r="G60" s="1">
        <v>-3.0999999999999999E-3</v>
      </c>
    </row>
    <row r="61" spans="1:7" x14ac:dyDescent="0.5">
      <c r="A61" t="s">
        <v>94</v>
      </c>
      <c r="B61">
        <v>331.62</v>
      </c>
      <c r="C61">
        <v>282.12</v>
      </c>
      <c r="D61">
        <v>332</v>
      </c>
      <c r="E61">
        <v>280.25</v>
      </c>
      <c r="F61" t="s">
        <v>490</v>
      </c>
      <c r="G61" s="1">
        <v>0.17630000000000001</v>
      </c>
    </row>
    <row r="62" spans="1:7" x14ac:dyDescent="0.5">
      <c r="A62" t="s">
        <v>96</v>
      </c>
      <c r="B62">
        <v>281.92</v>
      </c>
      <c r="C62">
        <v>302.87</v>
      </c>
      <c r="D62">
        <v>305.32</v>
      </c>
      <c r="E62">
        <v>281.62</v>
      </c>
      <c r="F62" t="s">
        <v>491</v>
      </c>
      <c r="G62" s="1">
        <v>-6.6100000000000006E-2</v>
      </c>
    </row>
    <row r="63" spans="1:7" x14ac:dyDescent="0.5">
      <c r="A63" t="s">
        <v>98</v>
      </c>
      <c r="B63">
        <v>301.88</v>
      </c>
      <c r="C63">
        <v>286.36</v>
      </c>
      <c r="D63">
        <v>305.83999999999997</v>
      </c>
      <c r="E63">
        <v>283.74</v>
      </c>
      <c r="F63" t="s">
        <v>492</v>
      </c>
      <c r="G63" s="1">
        <v>5.96E-2</v>
      </c>
    </row>
    <row r="64" spans="1:7" x14ac:dyDescent="0.5">
      <c r="A64" t="s">
        <v>100</v>
      </c>
      <c r="B64">
        <v>284.91000000000003</v>
      </c>
      <c r="C64">
        <v>269.61</v>
      </c>
      <c r="D64">
        <v>290.14999999999998</v>
      </c>
      <c r="E64">
        <v>269.60000000000002</v>
      </c>
      <c r="F64" t="s">
        <v>493</v>
      </c>
      <c r="G64" s="1">
        <v>5.1700000000000003E-2</v>
      </c>
    </row>
    <row r="65" spans="1:7" x14ac:dyDescent="0.5">
      <c r="A65" t="s">
        <v>102</v>
      </c>
      <c r="B65">
        <v>270.89999999999998</v>
      </c>
      <c r="C65">
        <v>251.23</v>
      </c>
      <c r="D65">
        <v>271.64999999999998</v>
      </c>
      <c r="E65">
        <v>243</v>
      </c>
      <c r="F65" t="s">
        <v>494</v>
      </c>
      <c r="G65" s="1">
        <v>8.5000000000000006E-2</v>
      </c>
    </row>
    <row r="66" spans="1:7" x14ac:dyDescent="0.5">
      <c r="A66" t="s">
        <v>104</v>
      </c>
      <c r="B66">
        <v>249.68</v>
      </c>
      <c r="C66">
        <v>253.4</v>
      </c>
      <c r="D66">
        <v>254.35</v>
      </c>
      <c r="E66">
        <v>238.07</v>
      </c>
      <c r="F66" t="s">
        <v>495</v>
      </c>
      <c r="G66" s="1">
        <v>-9.9000000000000008E-3</v>
      </c>
    </row>
    <row r="67" spans="1:7" x14ac:dyDescent="0.5">
      <c r="A67" t="s">
        <v>106</v>
      </c>
      <c r="B67">
        <v>252.18</v>
      </c>
      <c r="C67">
        <v>238.47</v>
      </c>
      <c r="D67">
        <v>263.19</v>
      </c>
      <c r="E67">
        <v>238.05</v>
      </c>
      <c r="F67" t="s">
        <v>496</v>
      </c>
      <c r="G67" s="1">
        <v>6.9599999999999995E-2</v>
      </c>
    </row>
    <row r="68" spans="1:7" x14ac:dyDescent="0.5">
      <c r="A68" t="s">
        <v>108</v>
      </c>
      <c r="B68">
        <v>235.77</v>
      </c>
      <c r="C68">
        <v>235.9</v>
      </c>
      <c r="D68">
        <v>241.05</v>
      </c>
      <c r="E68">
        <v>224.26</v>
      </c>
      <c r="F68" t="s">
        <v>497</v>
      </c>
      <c r="G68" s="1">
        <v>1.46E-2</v>
      </c>
    </row>
    <row r="69" spans="1:7" x14ac:dyDescent="0.5">
      <c r="A69" t="s">
        <v>110</v>
      </c>
      <c r="B69">
        <v>232.38</v>
      </c>
      <c r="C69">
        <v>235.06</v>
      </c>
      <c r="D69">
        <v>246.13</v>
      </c>
      <c r="E69">
        <v>227.88</v>
      </c>
      <c r="F69" t="s">
        <v>498</v>
      </c>
      <c r="G69" s="1">
        <v>1.8E-3</v>
      </c>
    </row>
    <row r="70" spans="1:7" x14ac:dyDescent="0.5">
      <c r="A70" t="s">
        <v>112</v>
      </c>
      <c r="B70">
        <v>231.96</v>
      </c>
      <c r="C70">
        <v>222.53</v>
      </c>
      <c r="D70">
        <v>242.64</v>
      </c>
      <c r="E70">
        <v>211.94</v>
      </c>
      <c r="F70" t="s">
        <v>499</v>
      </c>
      <c r="G70" s="1">
        <v>4.2900000000000001E-2</v>
      </c>
    </row>
    <row r="71" spans="1:7" x14ac:dyDescent="0.5">
      <c r="A71" t="s">
        <v>114</v>
      </c>
      <c r="B71">
        <v>222.42</v>
      </c>
      <c r="C71">
        <v>214.51</v>
      </c>
      <c r="D71">
        <v>227.18</v>
      </c>
      <c r="E71">
        <v>209.11</v>
      </c>
      <c r="F71" t="s">
        <v>500</v>
      </c>
      <c r="G71" s="1">
        <v>3.9E-2</v>
      </c>
    </row>
    <row r="72" spans="1:7" x14ac:dyDescent="0.5">
      <c r="A72" t="s">
        <v>116</v>
      </c>
      <c r="B72">
        <v>214.07</v>
      </c>
      <c r="C72">
        <v>204.29</v>
      </c>
      <c r="D72">
        <v>228.12</v>
      </c>
      <c r="E72">
        <v>200.12</v>
      </c>
      <c r="F72" t="s">
        <v>501</v>
      </c>
      <c r="G72" s="1">
        <v>5.7299999999999997E-2</v>
      </c>
    </row>
    <row r="73" spans="1:7" x14ac:dyDescent="0.5">
      <c r="A73" t="s">
        <v>118</v>
      </c>
      <c r="B73">
        <v>202.47</v>
      </c>
      <c r="C73">
        <v>213.49</v>
      </c>
      <c r="D73">
        <v>225.21</v>
      </c>
      <c r="E73">
        <v>199.62</v>
      </c>
      <c r="F73" t="s">
        <v>502</v>
      </c>
      <c r="G73" s="1">
        <v>-3.7400000000000003E-2</v>
      </c>
    </row>
    <row r="74" spans="1:7" x14ac:dyDescent="0.5">
      <c r="A74" t="s">
        <v>120</v>
      </c>
      <c r="B74">
        <v>210.33</v>
      </c>
      <c r="C74">
        <v>225.51</v>
      </c>
      <c r="D74">
        <v>232.86</v>
      </c>
      <c r="E74">
        <v>196.25</v>
      </c>
      <c r="F74" t="s">
        <v>503</v>
      </c>
      <c r="G74" s="1">
        <v>-6.7400000000000002E-2</v>
      </c>
    </row>
    <row r="75" spans="1:7" x14ac:dyDescent="0.5">
      <c r="A75" t="s">
        <v>122</v>
      </c>
      <c r="B75">
        <v>225.53</v>
      </c>
      <c r="C75">
        <v>211.52</v>
      </c>
      <c r="D75">
        <v>231.15</v>
      </c>
      <c r="E75">
        <v>203.14</v>
      </c>
      <c r="F75" t="s">
        <v>504</v>
      </c>
      <c r="G75" s="1">
        <v>0.10009999999999999</v>
      </c>
    </row>
    <row r="76" spans="1:7" x14ac:dyDescent="0.5">
      <c r="A76" t="s">
        <v>124</v>
      </c>
      <c r="B76">
        <v>205.01</v>
      </c>
      <c r="C76">
        <v>203.14</v>
      </c>
      <c r="D76">
        <v>216.38</v>
      </c>
      <c r="E76">
        <v>197.51</v>
      </c>
      <c r="F76" t="s">
        <v>505</v>
      </c>
      <c r="G76" s="1">
        <v>7.4000000000000003E-3</v>
      </c>
    </row>
    <row r="77" spans="1:7" x14ac:dyDescent="0.5">
      <c r="A77" t="s">
        <v>126</v>
      </c>
      <c r="B77">
        <v>203.51</v>
      </c>
      <c r="C77">
        <v>182.54</v>
      </c>
      <c r="D77">
        <v>204.4</v>
      </c>
      <c r="E77">
        <v>181.35</v>
      </c>
      <c r="F77" t="s">
        <v>506</v>
      </c>
      <c r="G77" s="1">
        <v>0.1106</v>
      </c>
    </row>
    <row r="78" spans="1:7" x14ac:dyDescent="0.5">
      <c r="A78" t="s">
        <v>128</v>
      </c>
      <c r="B78">
        <v>183.25</v>
      </c>
      <c r="C78">
        <v>175.8</v>
      </c>
      <c r="D78">
        <v>187.51</v>
      </c>
      <c r="E78">
        <v>173.8</v>
      </c>
      <c r="F78" t="s">
        <v>507</v>
      </c>
      <c r="G78" s="1">
        <v>2.2499999999999999E-2</v>
      </c>
    </row>
    <row r="79" spans="1:7" x14ac:dyDescent="0.5">
      <c r="A79" t="s">
        <v>130</v>
      </c>
      <c r="B79">
        <v>179.21</v>
      </c>
      <c r="C79">
        <v>153</v>
      </c>
      <c r="D79">
        <v>180.4</v>
      </c>
      <c r="E79">
        <v>150.36000000000001</v>
      </c>
      <c r="F79" t="s">
        <v>508</v>
      </c>
      <c r="G79" s="1">
        <v>0.1363</v>
      </c>
    </row>
    <row r="80" spans="1:7" x14ac:dyDescent="0.5">
      <c r="A80" t="s">
        <v>132</v>
      </c>
      <c r="B80">
        <v>157.71</v>
      </c>
      <c r="C80">
        <v>165.31</v>
      </c>
      <c r="D80">
        <v>175</v>
      </c>
      <c r="E80">
        <v>132.52000000000001</v>
      </c>
      <c r="F80" t="s">
        <v>321</v>
      </c>
      <c r="G80" s="1">
        <v>-2.6499999999999999E-2</v>
      </c>
    </row>
    <row r="81" spans="1:7" x14ac:dyDescent="0.5">
      <c r="A81" t="s">
        <v>134</v>
      </c>
      <c r="B81">
        <v>162.01</v>
      </c>
      <c r="C81">
        <v>170.43</v>
      </c>
      <c r="D81">
        <v>190.7</v>
      </c>
      <c r="E81">
        <v>152</v>
      </c>
      <c r="F81" t="s">
        <v>509</v>
      </c>
      <c r="G81" s="1">
        <v>-4.8300000000000003E-2</v>
      </c>
    </row>
    <row r="82" spans="1:7" x14ac:dyDescent="0.5">
      <c r="A82" t="s">
        <v>136</v>
      </c>
      <c r="B82">
        <v>170.23</v>
      </c>
      <c r="C82">
        <v>158.78</v>
      </c>
      <c r="D82">
        <v>174.05</v>
      </c>
      <c r="E82">
        <v>156.51</v>
      </c>
      <c r="F82" t="s">
        <v>510</v>
      </c>
      <c r="G82" s="1">
        <v>7.9500000000000001E-2</v>
      </c>
    </row>
    <row r="83" spans="1:7" x14ac:dyDescent="0.5">
      <c r="A83" t="s">
        <v>138</v>
      </c>
      <c r="B83">
        <v>157.69999999999999</v>
      </c>
      <c r="C83">
        <v>151.81</v>
      </c>
      <c r="D83">
        <v>159.55000000000001</v>
      </c>
      <c r="E83">
        <v>146.65</v>
      </c>
      <c r="F83" t="s">
        <v>511</v>
      </c>
      <c r="G83" s="1">
        <v>4.1700000000000001E-2</v>
      </c>
    </row>
    <row r="84" spans="1:7" x14ac:dyDescent="0.5">
      <c r="A84" t="s">
        <v>140</v>
      </c>
      <c r="B84">
        <v>151.38</v>
      </c>
      <c r="C84">
        <v>144.26</v>
      </c>
      <c r="D84">
        <v>152.5</v>
      </c>
      <c r="E84">
        <v>142.97</v>
      </c>
      <c r="F84" t="s">
        <v>512</v>
      </c>
      <c r="G84" s="1">
        <v>5.5899999999999998E-2</v>
      </c>
    </row>
    <row r="85" spans="1:7" x14ac:dyDescent="0.5">
      <c r="A85" t="s">
        <v>142</v>
      </c>
      <c r="B85">
        <v>143.37</v>
      </c>
      <c r="C85">
        <v>139.66</v>
      </c>
      <c r="D85">
        <v>145.66999999999999</v>
      </c>
      <c r="E85">
        <v>133.22</v>
      </c>
      <c r="F85" t="s">
        <v>513</v>
      </c>
      <c r="G85" s="1">
        <v>3.1199999999999999E-2</v>
      </c>
    </row>
    <row r="86" spans="1:7" x14ac:dyDescent="0.5">
      <c r="A86" t="s">
        <v>144</v>
      </c>
      <c r="B86">
        <v>139.03</v>
      </c>
      <c r="C86">
        <v>136.61000000000001</v>
      </c>
      <c r="D86">
        <v>142.37</v>
      </c>
      <c r="E86">
        <v>134.51</v>
      </c>
      <c r="F86" t="s">
        <v>514</v>
      </c>
      <c r="G86" s="1">
        <v>8.5000000000000006E-3</v>
      </c>
    </row>
    <row r="87" spans="1:7" x14ac:dyDescent="0.5">
      <c r="A87" t="s">
        <v>146</v>
      </c>
      <c r="B87">
        <v>137.86000000000001</v>
      </c>
      <c r="C87">
        <v>137</v>
      </c>
      <c r="D87">
        <v>140.94</v>
      </c>
      <c r="E87">
        <v>130.78</v>
      </c>
      <c r="F87" t="s">
        <v>515</v>
      </c>
      <c r="G87" s="1">
        <v>1.17E-2</v>
      </c>
    </row>
    <row r="88" spans="1:7" x14ac:dyDescent="0.5">
      <c r="A88" t="s">
        <v>148</v>
      </c>
      <c r="B88">
        <v>136.27000000000001</v>
      </c>
      <c r="C88">
        <v>136.63</v>
      </c>
      <c r="D88">
        <v>141.68</v>
      </c>
      <c r="E88">
        <v>134.66999999999999</v>
      </c>
      <c r="F88" t="s">
        <v>516</v>
      </c>
      <c r="G88" s="1">
        <v>1.72E-2</v>
      </c>
    </row>
    <row r="89" spans="1:7" x14ac:dyDescent="0.5">
      <c r="A89" t="s">
        <v>150</v>
      </c>
      <c r="B89">
        <v>133.96</v>
      </c>
      <c r="C89">
        <v>123.85</v>
      </c>
      <c r="D89">
        <v>138.4</v>
      </c>
      <c r="E89">
        <v>119.01</v>
      </c>
      <c r="F89" t="s">
        <v>517</v>
      </c>
      <c r="G89" s="1">
        <v>8.3099999999999993E-2</v>
      </c>
    </row>
    <row r="90" spans="1:7" x14ac:dyDescent="0.5">
      <c r="A90" t="s">
        <v>152</v>
      </c>
      <c r="B90">
        <v>123.68</v>
      </c>
      <c r="C90">
        <v>130.53</v>
      </c>
      <c r="D90">
        <v>130.65</v>
      </c>
      <c r="E90">
        <v>123.04</v>
      </c>
      <c r="F90" t="s">
        <v>518</v>
      </c>
      <c r="G90" s="1">
        <v>-5.2999999999999999E-2</v>
      </c>
    </row>
    <row r="91" spans="1:7" x14ac:dyDescent="0.5">
      <c r="A91" t="s">
        <v>154</v>
      </c>
      <c r="B91">
        <v>130.6</v>
      </c>
      <c r="C91">
        <v>118.95</v>
      </c>
      <c r="D91">
        <v>131.37</v>
      </c>
      <c r="E91">
        <v>118.1</v>
      </c>
      <c r="F91" t="s">
        <v>519</v>
      </c>
      <c r="G91" s="1">
        <v>0.10730000000000001</v>
      </c>
    </row>
    <row r="92" spans="1:7" x14ac:dyDescent="0.5">
      <c r="A92" t="s">
        <v>156</v>
      </c>
      <c r="B92">
        <v>117.94</v>
      </c>
      <c r="C92">
        <v>112.89</v>
      </c>
      <c r="D92">
        <v>120.82</v>
      </c>
      <c r="E92">
        <v>108.8</v>
      </c>
      <c r="F92" t="s">
        <v>520</v>
      </c>
      <c r="G92" s="1">
        <v>5.28E-2</v>
      </c>
    </row>
    <row r="93" spans="1:7" x14ac:dyDescent="0.5">
      <c r="A93" t="s">
        <v>158</v>
      </c>
      <c r="B93">
        <v>112.03</v>
      </c>
      <c r="C93">
        <v>103.78</v>
      </c>
      <c r="D93">
        <v>113.24</v>
      </c>
      <c r="E93">
        <v>102.35</v>
      </c>
      <c r="F93" t="s">
        <v>521</v>
      </c>
      <c r="G93" s="1">
        <v>7.2800000000000004E-2</v>
      </c>
    </row>
    <row r="94" spans="1:7" x14ac:dyDescent="0.5">
      <c r="A94" t="s">
        <v>160</v>
      </c>
      <c r="B94">
        <v>104.43</v>
      </c>
      <c r="C94">
        <v>99.55</v>
      </c>
      <c r="D94">
        <v>107.9</v>
      </c>
      <c r="E94">
        <v>97.2</v>
      </c>
      <c r="F94" t="s">
        <v>522</v>
      </c>
      <c r="G94" s="1">
        <v>2.8199999999999999E-2</v>
      </c>
    </row>
    <row r="95" spans="1:7" x14ac:dyDescent="0.5">
      <c r="A95" t="s">
        <v>162</v>
      </c>
      <c r="B95">
        <v>101.57</v>
      </c>
      <c r="C95">
        <v>113</v>
      </c>
      <c r="D95">
        <v>113.42</v>
      </c>
      <c r="E95">
        <v>93.96</v>
      </c>
      <c r="F95" t="s">
        <v>523</v>
      </c>
      <c r="G95" s="1">
        <v>-8.4000000000000005E-2</v>
      </c>
    </row>
    <row r="96" spans="1:7" x14ac:dyDescent="0.5">
      <c r="A96" t="s">
        <v>164</v>
      </c>
      <c r="B96">
        <v>110.89</v>
      </c>
      <c r="C96">
        <v>107.05</v>
      </c>
      <c r="D96">
        <v>112.24</v>
      </c>
      <c r="E96">
        <v>99.35</v>
      </c>
      <c r="F96" t="s">
        <v>524</v>
      </c>
      <c r="G96" s="1">
        <v>3.8199999999999998E-2</v>
      </c>
    </row>
    <row r="97" spans="1:7" x14ac:dyDescent="0.5">
      <c r="A97" t="s">
        <v>166</v>
      </c>
      <c r="B97">
        <v>106.81</v>
      </c>
      <c r="C97">
        <v>114.75</v>
      </c>
      <c r="D97">
        <v>116.18</v>
      </c>
      <c r="E97">
        <v>100.11</v>
      </c>
      <c r="F97" t="s">
        <v>525</v>
      </c>
      <c r="G97" s="1">
        <v>-6.6100000000000006E-2</v>
      </c>
    </row>
    <row r="98" spans="1:7" x14ac:dyDescent="0.5">
      <c r="A98" t="s">
        <v>168</v>
      </c>
      <c r="B98">
        <v>114.37</v>
      </c>
      <c r="C98">
        <v>110.85</v>
      </c>
      <c r="D98">
        <v>115.29</v>
      </c>
      <c r="E98">
        <v>107.23</v>
      </c>
      <c r="F98" t="s">
        <v>526</v>
      </c>
      <c r="G98" s="1">
        <v>1.8200000000000001E-2</v>
      </c>
    </row>
    <row r="99" spans="1:7" x14ac:dyDescent="0.5">
      <c r="A99" t="s">
        <v>170</v>
      </c>
      <c r="B99">
        <v>112.33</v>
      </c>
      <c r="C99">
        <v>106.03</v>
      </c>
      <c r="D99">
        <v>112.78</v>
      </c>
      <c r="E99">
        <v>104.84</v>
      </c>
      <c r="F99" t="s">
        <v>527</v>
      </c>
      <c r="G99" s="1">
        <v>5.8900000000000001E-2</v>
      </c>
    </row>
    <row r="100" spans="1:7" x14ac:dyDescent="0.5">
      <c r="A100" t="s">
        <v>172</v>
      </c>
      <c r="B100">
        <v>106.08</v>
      </c>
      <c r="C100">
        <v>98.1</v>
      </c>
      <c r="D100">
        <v>111.15</v>
      </c>
      <c r="E100">
        <v>98</v>
      </c>
      <c r="F100" t="s">
        <v>528</v>
      </c>
      <c r="G100" s="1">
        <v>7.5800000000000006E-2</v>
      </c>
    </row>
    <row r="101" spans="1:7" x14ac:dyDescent="0.5">
      <c r="A101" t="s">
        <v>174</v>
      </c>
      <c r="B101">
        <v>98.61</v>
      </c>
      <c r="C101">
        <v>99.28</v>
      </c>
      <c r="D101">
        <v>102.69</v>
      </c>
      <c r="E101">
        <v>97.26</v>
      </c>
      <c r="F101" t="s">
        <v>529</v>
      </c>
      <c r="G101" s="1">
        <v>-2.3E-3</v>
      </c>
    </row>
    <row r="102" spans="1:7" x14ac:dyDescent="0.5">
      <c r="A102" t="s">
        <v>176</v>
      </c>
      <c r="B102">
        <v>98.84</v>
      </c>
      <c r="C102">
        <v>93.21</v>
      </c>
      <c r="D102">
        <v>99.99</v>
      </c>
      <c r="E102">
        <v>92.45</v>
      </c>
      <c r="F102" t="s">
        <v>530</v>
      </c>
      <c r="G102" s="1">
        <v>5.6899999999999999E-2</v>
      </c>
    </row>
    <row r="103" spans="1:7" x14ac:dyDescent="0.5">
      <c r="A103" t="s">
        <v>178</v>
      </c>
      <c r="B103">
        <v>93.52</v>
      </c>
      <c r="C103">
        <v>90.47</v>
      </c>
      <c r="D103">
        <v>97.9</v>
      </c>
      <c r="E103">
        <v>87.51</v>
      </c>
      <c r="F103" t="s">
        <v>531</v>
      </c>
      <c r="G103" s="1">
        <v>2.47E-2</v>
      </c>
    </row>
    <row r="104" spans="1:7" x14ac:dyDescent="0.5">
      <c r="A104" t="s">
        <v>180</v>
      </c>
      <c r="B104">
        <v>91.27</v>
      </c>
      <c r="C104">
        <v>93.99</v>
      </c>
      <c r="D104">
        <v>97.24</v>
      </c>
      <c r="E104">
        <v>87.08</v>
      </c>
      <c r="F104" t="s">
        <v>532</v>
      </c>
      <c r="G104" s="1">
        <v>-2.6700000000000002E-2</v>
      </c>
    </row>
    <row r="105" spans="1:7" x14ac:dyDescent="0.5">
      <c r="A105" t="s">
        <v>182</v>
      </c>
      <c r="B105">
        <v>93.77</v>
      </c>
      <c r="C105">
        <v>94.79</v>
      </c>
      <c r="D105">
        <v>96.07</v>
      </c>
      <c r="E105">
        <v>83.83</v>
      </c>
      <c r="F105" t="s">
        <v>533</v>
      </c>
      <c r="G105" s="1">
        <v>-1.3100000000000001E-2</v>
      </c>
    </row>
    <row r="106" spans="1:7" x14ac:dyDescent="0.5">
      <c r="A106" t="s">
        <v>184</v>
      </c>
      <c r="B106">
        <v>95.01</v>
      </c>
      <c r="C106">
        <v>86.12</v>
      </c>
      <c r="D106">
        <v>95.45</v>
      </c>
      <c r="E106">
        <v>85.5</v>
      </c>
      <c r="F106" t="s">
        <v>534</v>
      </c>
      <c r="G106" s="1">
        <v>0.11070000000000001</v>
      </c>
    </row>
    <row r="107" spans="1:7" x14ac:dyDescent="0.5">
      <c r="A107" t="s">
        <v>186</v>
      </c>
      <c r="B107">
        <v>85.54</v>
      </c>
      <c r="C107">
        <v>83.6</v>
      </c>
      <c r="D107">
        <v>87.5</v>
      </c>
      <c r="E107">
        <v>80.7</v>
      </c>
      <c r="F107" t="s">
        <v>535</v>
      </c>
      <c r="G107" s="1">
        <v>1.6299999999999999E-2</v>
      </c>
    </row>
    <row r="108" spans="1:7" x14ac:dyDescent="0.5">
      <c r="A108" t="s">
        <v>188</v>
      </c>
      <c r="B108">
        <v>84.17</v>
      </c>
      <c r="C108">
        <v>83.68</v>
      </c>
      <c r="D108">
        <v>85.06</v>
      </c>
      <c r="E108">
        <v>82.24</v>
      </c>
      <c r="F108" t="s">
        <v>536</v>
      </c>
      <c r="G108" s="1">
        <v>1.1900000000000001E-2</v>
      </c>
    </row>
    <row r="109" spans="1:7" x14ac:dyDescent="0.5">
      <c r="A109" t="s">
        <v>190</v>
      </c>
      <c r="B109">
        <v>83.18</v>
      </c>
      <c r="C109">
        <v>74.709999999999994</v>
      </c>
      <c r="D109">
        <v>86.2</v>
      </c>
      <c r="E109">
        <v>73.709999999999994</v>
      </c>
      <c r="F109" t="s">
        <v>537</v>
      </c>
      <c r="G109" s="1">
        <v>0.1167</v>
      </c>
    </row>
    <row r="110" spans="1:7" x14ac:dyDescent="0.5">
      <c r="A110" t="s">
        <v>192</v>
      </c>
      <c r="B110">
        <v>74.489999999999995</v>
      </c>
      <c r="C110">
        <v>74.709999999999994</v>
      </c>
      <c r="D110">
        <v>75.97</v>
      </c>
      <c r="E110">
        <v>72.92</v>
      </c>
      <c r="F110" t="s">
        <v>538</v>
      </c>
      <c r="G110" s="1">
        <v>-3.7000000000000002E-3</v>
      </c>
    </row>
    <row r="111" spans="1:7" x14ac:dyDescent="0.5">
      <c r="A111" t="s">
        <v>194</v>
      </c>
      <c r="B111">
        <v>74.77</v>
      </c>
      <c r="C111">
        <v>73.099999999999994</v>
      </c>
      <c r="D111">
        <v>74.959999999999994</v>
      </c>
      <c r="E111">
        <v>71.28</v>
      </c>
      <c r="F111" t="s">
        <v>539</v>
      </c>
      <c r="G111" s="1">
        <v>2.8500000000000001E-2</v>
      </c>
    </row>
    <row r="112" spans="1:7" x14ac:dyDescent="0.5">
      <c r="A112" t="s">
        <v>196</v>
      </c>
      <c r="B112">
        <v>72.7</v>
      </c>
      <c r="C112">
        <v>69.33</v>
      </c>
      <c r="D112">
        <v>74.42</v>
      </c>
      <c r="E112">
        <v>68.02</v>
      </c>
      <c r="F112" t="s">
        <v>540</v>
      </c>
      <c r="G112" s="1">
        <v>5.4699999999999999E-2</v>
      </c>
    </row>
    <row r="113" spans="1:7" x14ac:dyDescent="0.5">
      <c r="A113" t="s">
        <v>198</v>
      </c>
      <c r="B113">
        <v>68.930000000000007</v>
      </c>
      <c r="C113">
        <v>70.239999999999995</v>
      </c>
      <c r="D113">
        <v>72.89</v>
      </c>
      <c r="E113">
        <v>68.09</v>
      </c>
      <c r="F113" t="s">
        <v>541</v>
      </c>
      <c r="G113" s="1">
        <v>-1.2999999999999999E-2</v>
      </c>
    </row>
    <row r="114" spans="1:7" x14ac:dyDescent="0.5">
      <c r="A114" t="s">
        <v>200</v>
      </c>
      <c r="B114">
        <v>69.84</v>
      </c>
      <c r="C114">
        <v>68.680000000000007</v>
      </c>
      <c r="D114">
        <v>70.739999999999995</v>
      </c>
      <c r="E114">
        <v>67.14</v>
      </c>
      <c r="F114" t="s">
        <v>542</v>
      </c>
      <c r="G114" s="1">
        <v>2.0199999999999999E-2</v>
      </c>
    </row>
    <row r="115" spans="1:7" x14ac:dyDescent="0.5">
      <c r="A115" t="s">
        <v>202</v>
      </c>
      <c r="B115">
        <v>68.459999999999994</v>
      </c>
      <c r="C115">
        <v>65.81</v>
      </c>
      <c r="D115">
        <v>69.14</v>
      </c>
      <c r="E115">
        <v>64.849999999999994</v>
      </c>
      <c r="F115" t="s">
        <v>543</v>
      </c>
      <c r="G115" s="1">
        <v>3.95E-2</v>
      </c>
    </row>
    <row r="116" spans="1:7" x14ac:dyDescent="0.5">
      <c r="A116" t="s">
        <v>204</v>
      </c>
      <c r="B116">
        <v>65.86</v>
      </c>
      <c r="C116">
        <v>64.13</v>
      </c>
      <c r="D116">
        <v>66.19</v>
      </c>
      <c r="E116">
        <v>63.62</v>
      </c>
      <c r="F116" t="s">
        <v>544</v>
      </c>
      <c r="G116" s="1">
        <v>2.9399999999999999E-2</v>
      </c>
    </row>
    <row r="117" spans="1:7" x14ac:dyDescent="0.5">
      <c r="A117" t="s">
        <v>206</v>
      </c>
      <c r="B117">
        <v>63.98</v>
      </c>
      <c r="C117">
        <v>64.36</v>
      </c>
      <c r="D117">
        <v>65.239999999999995</v>
      </c>
      <c r="E117">
        <v>62.75</v>
      </c>
      <c r="F117" t="s">
        <v>545</v>
      </c>
      <c r="G117" s="1">
        <v>-1.04E-2</v>
      </c>
    </row>
    <row r="118" spans="1:7" x14ac:dyDescent="0.5">
      <c r="A118" t="s">
        <v>208</v>
      </c>
      <c r="B118">
        <v>64.650000000000006</v>
      </c>
      <c r="C118">
        <v>62.79</v>
      </c>
      <c r="D118">
        <v>65.91</v>
      </c>
      <c r="E118">
        <v>61.95</v>
      </c>
      <c r="F118" t="s">
        <v>546</v>
      </c>
      <c r="G118" s="1">
        <v>4.0399999999999998E-2</v>
      </c>
    </row>
    <row r="119" spans="1:7" x14ac:dyDescent="0.5">
      <c r="A119" t="s">
        <v>210</v>
      </c>
      <c r="B119">
        <v>62.14</v>
      </c>
      <c r="C119">
        <v>60.11</v>
      </c>
      <c r="D119">
        <v>64.099999999999994</v>
      </c>
      <c r="E119">
        <v>58.8</v>
      </c>
      <c r="F119" t="s">
        <v>547</v>
      </c>
      <c r="G119" s="1">
        <v>3.1199999999999999E-2</v>
      </c>
    </row>
    <row r="120" spans="1:7" x14ac:dyDescent="0.5">
      <c r="A120" t="s">
        <v>212</v>
      </c>
      <c r="B120">
        <v>60.26</v>
      </c>
      <c r="C120">
        <v>59.97</v>
      </c>
      <c r="D120">
        <v>61.41</v>
      </c>
      <c r="E120">
        <v>57.28</v>
      </c>
      <c r="F120" t="s">
        <v>548</v>
      </c>
      <c r="G120" s="1">
        <v>5.7000000000000002E-3</v>
      </c>
    </row>
    <row r="121" spans="1:7" x14ac:dyDescent="0.5">
      <c r="A121" t="s">
        <v>214</v>
      </c>
      <c r="B121">
        <v>59.92</v>
      </c>
      <c r="C121">
        <v>57.41</v>
      </c>
      <c r="D121">
        <v>61.37</v>
      </c>
      <c r="E121">
        <v>56.31</v>
      </c>
      <c r="F121" t="s">
        <v>549</v>
      </c>
      <c r="G121" s="1">
        <v>4.0300000000000002E-2</v>
      </c>
    </row>
    <row r="122" spans="1:7" x14ac:dyDescent="0.5">
      <c r="A122" t="s">
        <v>216</v>
      </c>
      <c r="B122">
        <v>57.6</v>
      </c>
      <c r="C122">
        <v>57.01</v>
      </c>
      <c r="D122">
        <v>58.19</v>
      </c>
      <c r="E122">
        <v>55.61</v>
      </c>
      <c r="F122" t="s">
        <v>550</v>
      </c>
      <c r="G122" s="1">
        <v>2.3999999999999998E-3</v>
      </c>
    </row>
    <row r="123" spans="1:7" x14ac:dyDescent="0.5">
      <c r="A123" t="s">
        <v>218</v>
      </c>
      <c r="B123">
        <v>57.46</v>
      </c>
      <c r="C123">
        <v>56.6</v>
      </c>
      <c r="D123">
        <v>58.7</v>
      </c>
      <c r="E123">
        <v>56.14</v>
      </c>
      <c r="F123" t="s">
        <v>551</v>
      </c>
      <c r="G123" s="1">
        <v>1.38E-2</v>
      </c>
    </row>
    <row r="124" spans="1:7" x14ac:dyDescent="0.5">
      <c r="A124" t="s">
        <v>220</v>
      </c>
      <c r="B124">
        <v>56.68</v>
      </c>
      <c r="C124">
        <v>51.13</v>
      </c>
      <c r="D124">
        <v>57.29</v>
      </c>
      <c r="E124">
        <v>50.39</v>
      </c>
      <c r="F124" t="s">
        <v>552</v>
      </c>
      <c r="G124" s="1">
        <v>0.1077</v>
      </c>
    </row>
    <row r="125" spans="1:7" x14ac:dyDescent="0.5">
      <c r="A125" t="s">
        <v>222</v>
      </c>
      <c r="B125">
        <v>51.17</v>
      </c>
      <c r="C125">
        <v>52.44</v>
      </c>
      <c r="D125">
        <v>52.95</v>
      </c>
      <c r="E125">
        <v>48.03</v>
      </c>
      <c r="F125" t="s">
        <v>553</v>
      </c>
      <c r="G125" s="1">
        <v>-3.4500000000000003E-2</v>
      </c>
    </row>
    <row r="126" spans="1:7" x14ac:dyDescent="0.5">
      <c r="A126" t="s">
        <v>224</v>
      </c>
      <c r="B126">
        <v>53</v>
      </c>
      <c r="C126">
        <v>50</v>
      </c>
      <c r="D126">
        <v>53</v>
      </c>
      <c r="E126">
        <v>49.46</v>
      </c>
      <c r="F126" t="s">
        <v>554</v>
      </c>
      <c r="G126" s="1">
        <v>6.2799999999999995E-2</v>
      </c>
    </row>
    <row r="127" spans="1:7" x14ac:dyDescent="0.5">
      <c r="A127" t="s">
        <v>226</v>
      </c>
      <c r="B127">
        <v>49.87</v>
      </c>
      <c r="C127">
        <v>55.05</v>
      </c>
      <c r="D127">
        <v>56.77</v>
      </c>
      <c r="E127">
        <v>49.35</v>
      </c>
      <c r="F127" t="s">
        <v>555</v>
      </c>
      <c r="G127" s="1">
        <v>-9.7000000000000003E-2</v>
      </c>
    </row>
    <row r="128" spans="1:7" x14ac:dyDescent="0.5">
      <c r="A128" t="s">
        <v>228</v>
      </c>
      <c r="B128">
        <v>55.23</v>
      </c>
      <c r="C128">
        <v>50.97</v>
      </c>
      <c r="D128">
        <v>55.64</v>
      </c>
      <c r="E128">
        <v>50.58</v>
      </c>
      <c r="F128" t="s">
        <v>556</v>
      </c>
      <c r="G128" s="1">
        <v>8.5500000000000007E-2</v>
      </c>
    </row>
    <row r="129" spans="1:7" x14ac:dyDescent="0.5">
      <c r="A129" t="s">
        <v>230</v>
      </c>
      <c r="B129">
        <v>50.88</v>
      </c>
      <c r="C129">
        <v>54.88</v>
      </c>
      <c r="D129">
        <v>55.09</v>
      </c>
      <c r="E129">
        <v>48.19</v>
      </c>
      <c r="F129" t="s">
        <v>557</v>
      </c>
      <c r="G129" s="1">
        <v>-7.6399999999999996E-2</v>
      </c>
    </row>
    <row r="130" spans="1:7" x14ac:dyDescent="0.5">
      <c r="A130" t="s">
        <v>232</v>
      </c>
      <c r="B130">
        <v>55.09</v>
      </c>
      <c r="C130">
        <v>54.32</v>
      </c>
      <c r="D130">
        <v>55.39</v>
      </c>
      <c r="E130">
        <v>49.1</v>
      </c>
      <c r="F130" t="s">
        <v>558</v>
      </c>
      <c r="G130" s="1">
        <v>-7.0000000000000001E-3</v>
      </c>
    </row>
    <row r="131" spans="1:7" x14ac:dyDescent="0.5">
      <c r="A131" t="s">
        <v>234</v>
      </c>
      <c r="B131">
        <v>55.48</v>
      </c>
      <c r="C131">
        <v>54.41</v>
      </c>
      <c r="D131">
        <v>56.85</v>
      </c>
      <c r="E131">
        <v>53.68</v>
      </c>
      <c r="F131" t="s">
        <v>559</v>
      </c>
      <c r="G131" s="1">
        <v>2.0799999999999999E-2</v>
      </c>
    </row>
    <row r="132" spans="1:7" x14ac:dyDescent="0.5">
      <c r="A132" t="s">
        <v>236</v>
      </c>
      <c r="B132">
        <v>54.35</v>
      </c>
      <c r="C132">
        <v>52.85</v>
      </c>
      <c r="D132">
        <v>54.98</v>
      </c>
      <c r="E132">
        <v>52.53</v>
      </c>
      <c r="F132" t="s">
        <v>560</v>
      </c>
      <c r="G132" s="1">
        <v>3.2500000000000001E-2</v>
      </c>
    </row>
    <row r="133" spans="1:7" x14ac:dyDescent="0.5">
      <c r="A133" t="s">
        <v>238</v>
      </c>
      <c r="B133">
        <v>52.64</v>
      </c>
      <c r="C133">
        <v>44.75</v>
      </c>
      <c r="D133">
        <v>54.37</v>
      </c>
      <c r="E133">
        <v>43.75</v>
      </c>
      <c r="F133" t="s">
        <v>561</v>
      </c>
      <c r="G133" s="1">
        <v>0.1893</v>
      </c>
    </row>
    <row r="134" spans="1:7" x14ac:dyDescent="0.5">
      <c r="A134" t="s">
        <v>240</v>
      </c>
      <c r="B134">
        <v>44.26</v>
      </c>
      <c r="C134">
        <v>42.17</v>
      </c>
      <c r="D134">
        <v>45</v>
      </c>
      <c r="E134">
        <v>41.66</v>
      </c>
      <c r="F134" t="s">
        <v>562</v>
      </c>
      <c r="G134" s="1">
        <v>1.7000000000000001E-2</v>
      </c>
    </row>
    <row r="135" spans="1:7" x14ac:dyDescent="0.5">
      <c r="A135" t="s">
        <v>242</v>
      </c>
      <c r="B135">
        <v>43.52</v>
      </c>
      <c r="C135">
        <v>46.98</v>
      </c>
      <c r="D135">
        <v>48.41</v>
      </c>
      <c r="E135">
        <v>39.72</v>
      </c>
      <c r="F135" t="s">
        <v>563</v>
      </c>
      <c r="G135" s="1">
        <v>-6.8099999999999994E-2</v>
      </c>
    </row>
    <row r="136" spans="1:7" x14ac:dyDescent="0.5">
      <c r="A136" t="s">
        <v>244</v>
      </c>
      <c r="B136">
        <v>46.7</v>
      </c>
      <c r="C136">
        <v>44.46</v>
      </c>
      <c r="D136">
        <v>47.4</v>
      </c>
      <c r="E136">
        <v>43.32</v>
      </c>
      <c r="F136" t="s">
        <v>564</v>
      </c>
      <c r="G136" s="1">
        <v>5.7799999999999997E-2</v>
      </c>
    </row>
    <row r="137" spans="1:7" x14ac:dyDescent="0.5">
      <c r="A137" t="s">
        <v>246</v>
      </c>
      <c r="B137">
        <v>44.15</v>
      </c>
      <c r="C137">
        <v>47.06</v>
      </c>
      <c r="D137">
        <v>47.77</v>
      </c>
      <c r="E137">
        <v>43.94</v>
      </c>
      <c r="F137" t="s">
        <v>565</v>
      </c>
      <c r="G137" s="1">
        <v>-5.7799999999999997E-2</v>
      </c>
    </row>
    <row r="138" spans="1:7" x14ac:dyDescent="0.5">
      <c r="A138" t="s">
        <v>248</v>
      </c>
      <c r="B138">
        <v>46.86</v>
      </c>
      <c r="C138">
        <v>48.58</v>
      </c>
      <c r="D138">
        <v>48.91</v>
      </c>
      <c r="E138">
        <v>46.02</v>
      </c>
      <c r="F138" t="s">
        <v>566</v>
      </c>
      <c r="G138" s="1">
        <v>-3.6600000000000001E-2</v>
      </c>
    </row>
    <row r="139" spans="1:7" x14ac:dyDescent="0.5">
      <c r="A139" t="s">
        <v>250</v>
      </c>
      <c r="B139">
        <v>48.64</v>
      </c>
      <c r="C139">
        <v>40.6</v>
      </c>
      <c r="D139">
        <v>49.54</v>
      </c>
      <c r="E139">
        <v>40.119999999999997</v>
      </c>
      <c r="F139" t="s">
        <v>567</v>
      </c>
      <c r="G139" s="1">
        <v>0.1963</v>
      </c>
    </row>
    <row r="140" spans="1:7" x14ac:dyDescent="0.5">
      <c r="A140" t="s">
        <v>252</v>
      </c>
      <c r="B140">
        <v>40.659999999999997</v>
      </c>
      <c r="C140">
        <v>43.67</v>
      </c>
      <c r="D140">
        <v>44.19</v>
      </c>
      <c r="E140">
        <v>40.54</v>
      </c>
      <c r="F140" t="s">
        <v>568</v>
      </c>
      <c r="G140" s="1">
        <v>-7.2700000000000001E-2</v>
      </c>
    </row>
    <row r="141" spans="1:7" x14ac:dyDescent="0.5">
      <c r="A141" t="s">
        <v>254</v>
      </c>
      <c r="B141">
        <v>43.85</v>
      </c>
      <c r="C141">
        <v>40.590000000000003</v>
      </c>
      <c r="D141">
        <v>44.3</v>
      </c>
      <c r="E141">
        <v>40.229999999999997</v>
      </c>
      <c r="F141" t="s">
        <v>569</v>
      </c>
      <c r="G141" s="1">
        <v>8.5400000000000004E-2</v>
      </c>
    </row>
    <row r="142" spans="1:7" x14ac:dyDescent="0.5">
      <c r="A142" t="s">
        <v>256</v>
      </c>
      <c r="B142">
        <v>40.4</v>
      </c>
      <c r="C142">
        <v>46.66</v>
      </c>
      <c r="D142">
        <v>47.91</v>
      </c>
      <c r="E142">
        <v>40.35</v>
      </c>
      <c r="F142" t="s">
        <v>570</v>
      </c>
      <c r="G142" s="1">
        <v>-0.13020000000000001</v>
      </c>
    </row>
    <row r="143" spans="1:7" x14ac:dyDescent="0.5">
      <c r="A143" t="s">
        <v>258</v>
      </c>
      <c r="B143">
        <v>46.45</v>
      </c>
      <c r="C143">
        <v>47.88</v>
      </c>
      <c r="D143">
        <v>49.06</v>
      </c>
      <c r="E143">
        <v>44.9</v>
      </c>
      <c r="F143" t="s">
        <v>571</v>
      </c>
      <c r="G143" s="1">
        <v>-2.8400000000000002E-2</v>
      </c>
    </row>
    <row r="144" spans="1:7" x14ac:dyDescent="0.5">
      <c r="A144" t="s">
        <v>260</v>
      </c>
      <c r="B144">
        <v>47.81</v>
      </c>
      <c r="C144">
        <v>46.89</v>
      </c>
      <c r="D144">
        <v>50.05</v>
      </c>
      <c r="E144">
        <v>46.73</v>
      </c>
      <c r="F144" t="s">
        <v>572</v>
      </c>
      <c r="G144" s="1">
        <v>1.83E-2</v>
      </c>
    </row>
    <row r="145" spans="1:7" x14ac:dyDescent="0.5">
      <c r="A145" t="s">
        <v>262</v>
      </c>
      <c r="B145">
        <v>46.95</v>
      </c>
      <c r="C145">
        <v>46.27</v>
      </c>
      <c r="D145">
        <v>46.97</v>
      </c>
      <c r="E145">
        <v>42.1</v>
      </c>
      <c r="F145" t="s">
        <v>573</v>
      </c>
      <c r="G145" s="1">
        <v>1.2699999999999999E-2</v>
      </c>
    </row>
    <row r="146" spans="1:7" x14ac:dyDescent="0.5">
      <c r="A146" t="s">
        <v>264</v>
      </c>
      <c r="B146">
        <v>46.36</v>
      </c>
      <c r="C146">
        <v>45.43</v>
      </c>
      <c r="D146">
        <v>47.57</v>
      </c>
      <c r="E146">
        <v>44.53</v>
      </c>
      <c r="F146" t="s">
        <v>574</v>
      </c>
      <c r="G146" s="1">
        <v>2.0500000000000001E-2</v>
      </c>
    </row>
    <row r="147" spans="1:7" x14ac:dyDescent="0.5">
      <c r="A147" t="s">
        <v>266</v>
      </c>
      <c r="B147">
        <v>45.43</v>
      </c>
      <c r="C147">
        <v>43.21</v>
      </c>
      <c r="D147">
        <v>45.47</v>
      </c>
      <c r="E147">
        <v>42.21</v>
      </c>
      <c r="F147" t="s">
        <v>575</v>
      </c>
      <c r="G147" s="1">
        <v>5.2600000000000001E-2</v>
      </c>
    </row>
    <row r="148" spans="1:7" x14ac:dyDescent="0.5">
      <c r="A148" t="s">
        <v>268</v>
      </c>
      <c r="B148">
        <v>43.16</v>
      </c>
      <c r="C148">
        <v>41.86</v>
      </c>
      <c r="D148">
        <v>45.71</v>
      </c>
      <c r="E148">
        <v>41.05</v>
      </c>
      <c r="F148" t="s">
        <v>576</v>
      </c>
      <c r="G148" s="1">
        <v>3.5000000000000003E-2</v>
      </c>
    </row>
    <row r="149" spans="1:7" x14ac:dyDescent="0.5">
      <c r="A149" t="s">
        <v>270</v>
      </c>
      <c r="B149">
        <v>41.7</v>
      </c>
      <c r="C149">
        <v>40.950000000000003</v>
      </c>
      <c r="D149">
        <v>42.29</v>
      </c>
      <c r="E149">
        <v>39.86</v>
      </c>
      <c r="F149" t="s">
        <v>577</v>
      </c>
      <c r="G149" s="1">
        <v>1.8599999999999998E-2</v>
      </c>
    </row>
    <row r="150" spans="1:7" x14ac:dyDescent="0.5">
      <c r="A150" t="s">
        <v>272</v>
      </c>
      <c r="B150">
        <v>40.94</v>
      </c>
      <c r="C150">
        <v>40.24</v>
      </c>
      <c r="D150">
        <v>40.97</v>
      </c>
      <c r="E150">
        <v>38.51</v>
      </c>
      <c r="F150" t="s">
        <v>578</v>
      </c>
      <c r="G150" s="1">
        <v>1.34E-2</v>
      </c>
    </row>
    <row r="151" spans="1:7" x14ac:dyDescent="0.5">
      <c r="A151" t="s">
        <v>274</v>
      </c>
      <c r="B151">
        <v>40.4</v>
      </c>
      <c r="C151">
        <v>41.15</v>
      </c>
      <c r="D151">
        <v>41.66</v>
      </c>
      <c r="E151">
        <v>38.9</v>
      </c>
      <c r="F151" t="s">
        <v>579</v>
      </c>
      <c r="G151" s="1">
        <v>-1.44E-2</v>
      </c>
    </row>
    <row r="152" spans="1:7" x14ac:dyDescent="0.5">
      <c r="A152" t="s">
        <v>276</v>
      </c>
      <c r="B152">
        <v>40.99</v>
      </c>
      <c r="C152">
        <v>37.92</v>
      </c>
      <c r="D152">
        <v>41.5</v>
      </c>
      <c r="E152">
        <v>37.49</v>
      </c>
      <c r="F152" t="s">
        <v>580</v>
      </c>
      <c r="G152" s="1">
        <v>7.0000000000000007E-2</v>
      </c>
    </row>
    <row r="153" spans="1:7" x14ac:dyDescent="0.5">
      <c r="A153" t="s">
        <v>278</v>
      </c>
      <c r="B153">
        <v>38.31</v>
      </c>
      <c r="C153">
        <v>37.74</v>
      </c>
      <c r="D153">
        <v>38.46</v>
      </c>
      <c r="E153">
        <v>35.69</v>
      </c>
      <c r="F153" t="s">
        <v>581</v>
      </c>
      <c r="G153" s="1">
        <v>1.24E-2</v>
      </c>
    </row>
    <row r="154" spans="1:7" x14ac:dyDescent="0.5">
      <c r="A154" t="s">
        <v>280</v>
      </c>
      <c r="B154">
        <v>37.840000000000003</v>
      </c>
      <c r="C154">
        <v>37.35</v>
      </c>
      <c r="D154">
        <v>37.89</v>
      </c>
      <c r="E154">
        <v>34.630000000000003</v>
      </c>
      <c r="F154" t="s">
        <v>582</v>
      </c>
      <c r="G154" s="1">
        <v>1.15E-2</v>
      </c>
    </row>
    <row r="155" spans="1:7" x14ac:dyDescent="0.5">
      <c r="A155" t="s">
        <v>282</v>
      </c>
      <c r="B155">
        <v>37.409999999999997</v>
      </c>
      <c r="C155">
        <v>38.090000000000003</v>
      </c>
      <c r="D155">
        <v>38.979999999999997</v>
      </c>
      <c r="E155">
        <v>35.53</v>
      </c>
      <c r="F155" t="s">
        <v>583</v>
      </c>
      <c r="G155" s="1">
        <v>-1.89E-2</v>
      </c>
    </row>
    <row r="156" spans="1:7" x14ac:dyDescent="0.5">
      <c r="A156" t="s">
        <v>284</v>
      </c>
      <c r="B156">
        <v>38.130000000000003</v>
      </c>
      <c r="C156">
        <v>35.67</v>
      </c>
      <c r="D156">
        <v>38.29</v>
      </c>
      <c r="E156">
        <v>35.39</v>
      </c>
      <c r="F156" t="s">
        <v>584</v>
      </c>
      <c r="G156" s="1">
        <v>7.6799999999999993E-2</v>
      </c>
    </row>
    <row r="157" spans="1:7" x14ac:dyDescent="0.5">
      <c r="A157" t="s">
        <v>286</v>
      </c>
      <c r="B157">
        <v>35.409999999999997</v>
      </c>
      <c r="C157">
        <v>33.35</v>
      </c>
      <c r="D157">
        <v>36.29</v>
      </c>
      <c r="E157">
        <v>32.799999999999997</v>
      </c>
      <c r="F157" t="s">
        <v>585</v>
      </c>
      <c r="G157" s="1">
        <v>6.4000000000000001E-2</v>
      </c>
    </row>
    <row r="158" spans="1:7" x14ac:dyDescent="0.5">
      <c r="A158" t="s">
        <v>288</v>
      </c>
      <c r="B158">
        <v>33.28</v>
      </c>
      <c r="C158">
        <v>31.75</v>
      </c>
      <c r="D158">
        <v>33.75</v>
      </c>
      <c r="E158">
        <v>30.95</v>
      </c>
      <c r="F158" t="s">
        <v>298</v>
      </c>
      <c r="G158" s="1">
        <v>-3.5999999999999999E-3</v>
      </c>
    </row>
    <row r="159" spans="1:7" x14ac:dyDescent="0.5">
      <c r="A159" t="s">
        <v>290</v>
      </c>
      <c r="B159">
        <v>33.4</v>
      </c>
      <c r="C159">
        <v>32.06</v>
      </c>
      <c r="D159">
        <v>35.200000000000003</v>
      </c>
      <c r="E159">
        <v>30.84</v>
      </c>
      <c r="F159" t="s">
        <v>586</v>
      </c>
      <c r="G159" s="1">
        <v>4.9000000000000002E-2</v>
      </c>
    </row>
    <row r="160" spans="1:7" x14ac:dyDescent="0.5">
      <c r="A160" t="s">
        <v>292</v>
      </c>
      <c r="B160">
        <v>31.84</v>
      </c>
      <c r="C160">
        <v>34.75</v>
      </c>
      <c r="D160">
        <v>36.43</v>
      </c>
      <c r="E160">
        <v>31.02</v>
      </c>
      <c r="F160" t="s">
        <v>587</v>
      </c>
      <c r="G160" s="1">
        <v>-7.8399999999999997E-2</v>
      </c>
    </row>
    <row r="161" spans="1:7" x14ac:dyDescent="0.5">
      <c r="A161" t="s">
        <v>293</v>
      </c>
      <c r="B161">
        <v>34.549999999999997</v>
      </c>
      <c r="C161">
        <v>34.92</v>
      </c>
      <c r="D161">
        <v>35.78</v>
      </c>
      <c r="E161">
        <v>32.57</v>
      </c>
      <c r="F161" t="s">
        <v>588</v>
      </c>
      <c r="G161" s="1">
        <v>-0.01</v>
      </c>
    </row>
    <row r="162" spans="1:7" x14ac:dyDescent="0.5">
      <c r="A162" t="s">
        <v>295</v>
      </c>
      <c r="B162">
        <v>34.9</v>
      </c>
      <c r="C162">
        <v>32.93</v>
      </c>
      <c r="D162">
        <v>35.28</v>
      </c>
      <c r="E162">
        <v>32.32</v>
      </c>
      <c r="F162" t="s">
        <v>56</v>
      </c>
      <c r="G162" s="1">
        <v>5.4399999999999997E-2</v>
      </c>
    </row>
    <row r="163" spans="1:7" x14ac:dyDescent="0.5">
      <c r="A163" t="s">
        <v>297</v>
      </c>
      <c r="B163">
        <v>33.1</v>
      </c>
      <c r="C163">
        <v>28.64</v>
      </c>
      <c r="D163">
        <v>33.11</v>
      </c>
      <c r="E163">
        <v>28.11</v>
      </c>
      <c r="F163" t="s">
        <v>18</v>
      </c>
      <c r="G163" s="1">
        <v>0.15690000000000001</v>
      </c>
    </row>
    <row r="164" spans="1:7" x14ac:dyDescent="0.5">
      <c r="A164" t="s">
        <v>299</v>
      </c>
      <c r="B164">
        <v>28.61</v>
      </c>
      <c r="C164">
        <v>27.72</v>
      </c>
      <c r="D164">
        <v>28.66</v>
      </c>
      <c r="E164">
        <v>27.52</v>
      </c>
      <c r="F164" t="s">
        <v>589</v>
      </c>
      <c r="G164" s="1">
        <v>2.9100000000000001E-2</v>
      </c>
    </row>
    <row r="165" spans="1:7" x14ac:dyDescent="0.5">
      <c r="A165" t="s">
        <v>301</v>
      </c>
      <c r="B165">
        <v>27.8</v>
      </c>
      <c r="C165">
        <v>27.67</v>
      </c>
      <c r="D165">
        <v>28.2</v>
      </c>
      <c r="E165">
        <v>27.1</v>
      </c>
      <c r="F165" t="s">
        <v>590</v>
      </c>
      <c r="G165" s="1">
        <v>1.2800000000000001E-2</v>
      </c>
    </row>
    <row r="166" spans="1:7" x14ac:dyDescent="0.5">
      <c r="A166" t="s">
        <v>303</v>
      </c>
      <c r="B166">
        <v>27.45</v>
      </c>
      <c r="C166">
        <v>27.25</v>
      </c>
      <c r="D166">
        <v>28.23</v>
      </c>
      <c r="E166">
        <v>26.28</v>
      </c>
      <c r="F166" t="s">
        <v>327</v>
      </c>
      <c r="G166" s="1">
        <v>2.7699999999999999E-2</v>
      </c>
    </row>
    <row r="167" spans="1:7" x14ac:dyDescent="0.5">
      <c r="A167" t="s">
        <v>305</v>
      </c>
      <c r="B167">
        <v>26.71</v>
      </c>
      <c r="C167">
        <v>26.78</v>
      </c>
      <c r="D167">
        <v>27.73</v>
      </c>
      <c r="E167">
        <v>26.26</v>
      </c>
      <c r="F167" t="s">
        <v>591</v>
      </c>
      <c r="G167" s="1">
        <v>3.8E-3</v>
      </c>
    </row>
    <row r="168" spans="1:7" x14ac:dyDescent="0.5">
      <c r="A168" t="s">
        <v>307</v>
      </c>
      <c r="B168">
        <v>26.61</v>
      </c>
      <c r="C168">
        <v>28.84</v>
      </c>
      <c r="D168">
        <v>30.2</v>
      </c>
      <c r="E168">
        <v>26.34</v>
      </c>
      <c r="F168" t="s">
        <v>339</v>
      </c>
      <c r="G168" s="1">
        <v>-6.7599999999999993E-2</v>
      </c>
    </row>
    <row r="169" spans="1:7" x14ac:dyDescent="0.5">
      <c r="A169" t="s">
        <v>309</v>
      </c>
      <c r="B169">
        <v>28.54</v>
      </c>
      <c r="C169">
        <v>29.81</v>
      </c>
      <c r="D169">
        <v>30.25</v>
      </c>
      <c r="E169">
        <v>27.76</v>
      </c>
      <c r="F169" t="s">
        <v>587</v>
      </c>
      <c r="G169" s="1">
        <v>-4.1000000000000002E-2</v>
      </c>
    </row>
    <row r="170" spans="1:7" x14ac:dyDescent="0.5">
      <c r="A170" t="s">
        <v>311</v>
      </c>
      <c r="B170">
        <v>29.76</v>
      </c>
      <c r="C170">
        <v>30.45</v>
      </c>
      <c r="D170">
        <v>31.61</v>
      </c>
      <c r="E170">
        <v>29.74</v>
      </c>
      <c r="F170" t="s">
        <v>592</v>
      </c>
      <c r="G170" s="1">
        <v>-3.44E-2</v>
      </c>
    </row>
    <row r="171" spans="1:7" x14ac:dyDescent="0.5">
      <c r="A171" t="s">
        <v>313</v>
      </c>
      <c r="B171">
        <v>30.82</v>
      </c>
      <c r="C171">
        <v>29.59</v>
      </c>
      <c r="D171">
        <v>30.96</v>
      </c>
      <c r="E171">
        <v>28.97</v>
      </c>
      <c r="F171" t="s">
        <v>593</v>
      </c>
      <c r="G171" s="1">
        <v>4.58E-2</v>
      </c>
    </row>
    <row r="172" spans="1:7" x14ac:dyDescent="0.5">
      <c r="A172" t="s">
        <v>315</v>
      </c>
      <c r="B172">
        <v>29.47</v>
      </c>
      <c r="C172">
        <v>30.62</v>
      </c>
      <c r="D172">
        <v>31.05</v>
      </c>
      <c r="E172">
        <v>28.54</v>
      </c>
      <c r="F172" t="s">
        <v>594</v>
      </c>
      <c r="G172" s="1">
        <v>-3.6600000000000001E-2</v>
      </c>
    </row>
    <row r="173" spans="1:7" x14ac:dyDescent="0.5">
      <c r="A173" t="s">
        <v>317</v>
      </c>
      <c r="B173">
        <v>30.59</v>
      </c>
      <c r="C173">
        <v>28.76</v>
      </c>
      <c r="D173">
        <v>31.14</v>
      </c>
      <c r="E173">
        <v>28.32</v>
      </c>
      <c r="F173" t="s">
        <v>595</v>
      </c>
      <c r="G173" s="1">
        <v>4.8000000000000001E-2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A76E-1F48-CE49-90C2-356C52B95A51}">
  <dimension ref="A1:G173"/>
  <sheetViews>
    <sheetView workbookViewId="0">
      <selection activeCell="B13" sqref="B13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349.54</v>
      </c>
      <c r="C2">
        <v>336</v>
      </c>
      <c r="D2">
        <v>359.44</v>
      </c>
      <c r="E2">
        <v>327.74</v>
      </c>
      <c r="F2" t="s">
        <v>1512</v>
      </c>
      <c r="G2" s="1">
        <v>0.03</v>
      </c>
    </row>
    <row r="3" spans="1:7" x14ac:dyDescent="0.5">
      <c r="A3" s="3">
        <v>46235</v>
      </c>
      <c r="B3">
        <v>339.35</v>
      </c>
      <c r="C3">
        <v>365.45</v>
      </c>
      <c r="D3">
        <v>384.48</v>
      </c>
      <c r="E3">
        <v>337.16</v>
      </c>
      <c r="F3" t="s">
        <v>1513</v>
      </c>
      <c r="G3" s="1">
        <v>-4.7100000000000003E-2</v>
      </c>
    </row>
    <row r="4" spans="1:7" x14ac:dyDescent="0.5">
      <c r="A4" s="3">
        <v>46204</v>
      </c>
      <c r="B4">
        <v>356.13</v>
      </c>
      <c r="C4">
        <v>358.37</v>
      </c>
      <c r="D4">
        <v>375.27</v>
      </c>
      <c r="E4">
        <v>314.89999999999998</v>
      </c>
      <c r="F4" t="s">
        <v>1514</v>
      </c>
      <c r="G4" s="1">
        <v>-3.5000000000000001E-3</v>
      </c>
    </row>
    <row r="5" spans="1:7" x14ac:dyDescent="0.5">
      <c r="A5" s="3">
        <v>46174</v>
      </c>
      <c r="B5">
        <v>357.37</v>
      </c>
      <c r="C5">
        <v>376.52</v>
      </c>
      <c r="D5">
        <v>378.56</v>
      </c>
      <c r="E5">
        <v>330.2</v>
      </c>
      <c r="F5" t="s">
        <v>1515</v>
      </c>
      <c r="G5" s="1">
        <v>-6.0400000000000002E-2</v>
      </c>
    </row>
    <row r="6" spans="1:7" x14ac:dyDescent="0.5">
      <c r="A6" s="3">
        <v>46143</v>
      </c>
      <c r="B6">
        <v>380.34</v>
      </c>
      <c r="C6">
        <v>381.63</v>
      </c>
      <c r="D6">
        <v>408.61</v>
      </c>
      <c r="E6">
        <v>378.46</v>
      </c>
      <c r="F6" t="s">
        <v>1516</v>
      </c>
      <c r="G6" s="1">
        <v>-1.1599999999999999E-2</v>
      </c>
    </row>
    <row r="7" spans="1:7" x14ac:dyDescent="0.5">
      <c r="A7" s="3">
        <v>46113</v>
      </c>
      <c r="B7">
        <v>384.8</v>
      </c>
      <c r="C7">
        <v>290.83</v>
      </c>
      <c r="D7">
        <v>385.84</v>
      </c>
      <c r="E7">
        <v>289.45</v>
      </c>
      <c r="F7" t="s">
        <v>1517</v>
      </c>
      <c r="G7" s="1">
        <v>0.3382</v>
      </c>
    </row>
    <row r="8" spans="1:7" x14ac:dyDescent="0.5">
      <c r="A8" s="3">
        <v>46082</v>
      </c>
      <c r="B8">
        <v>287.56</v>
      </c>
      <c r="C8">
        <v>303.23</v>
      </c>
      <c r="D8">
        <v>312.47000000000003</v>
      </c>
      <c r="E8">
        <v>272.11</v>
      </c>
      <c r="F8" t="s">
        <v>1518</v>
      </c>
      <c r="G8" s="1">
        <v>-7.7600000000000002E-2</v>
      </c>
    </row>
    <row r="9" spans="1:7" x14ac:dyDescent="0.5">
      <c r="A9" s="3">
        <v>46054</v>
      </c>
      <c r="B9">
        <v>311.76</v>
      </c>
      <c r="C9">
        <v>336.22</v>
      </c>
      <c r="D9">
        <v>349</v>
      </c>
      <c r="E9">
        <v>296.25</v>
      </c>
      <c r="F9" t="s">
        <v>1519</v>
      </c>
      <c r="G9" s="1">
        <v>-7.7600000000000002E-2</v>
      </c>
    </row>
    <row r="10" spans="1:7" x14ac:dyDescent="0.5">
      <c r="A10" s="3">
        <v>46023</v>
      </c>
      <c r="B10">
        <v>338</v>
      </c>
      <c r="C10">
        <v>316.89999999999998</v>
      </c>
      <c r="D10">
        <v>342.29</v>
      </c>
      <c r="E10">
        <v>310.33</v>
      </c>
      <c r="F10" t="s">
        <v>1520</v>
      </c>
      <c r="G10" s="1">
        <v>7.9899999999999999E-2</v>
      </c>
    </row>
    <row r="11" spans="1:7" x14ac:dyDescent="0.5">
      <c r="A11" s="3">
        <v>45992</v>
      </c>
      <c r="B11">
        <v>313</v>
      </c>
      <c r="C11">
        <v>317.7</v>
      </c>
      <c r="D11">
        <v>323.16000000000003</v>
      </c>
      <c r="E11">
        <v>296.12</v>
      </c>
      <c r="F11" t="s">
        <v>1521</v>
      </c>
      <c r="G11" s="1">
        <v>-2.24E-2</v>
      </c>
    </row>
    <row r="12" spans="1:7" x14ac:dyDescent="0.5">
      <c r="A12" s="3">
        <v>45962</v>
      </c>
      <c r="B12">
        <v>320.18</v>
      </c>
      <c r="C12">
        <v>282.17</v>
      </c>
      <c r="D12">
        <v>328.83</v>
      </c>
      <c r="E12">
        <v>270.7</v>
      </c>
      <c r="F12" t="s">
        <v>1522</v>
      </c>
      <c r="G12" s="1">
        <v>0.13869999999999999</v>
      </c>
    </row>
    <row r="13" spans="1:7" x14ac:dyDescent="0.5">
      <c r="A13" s="3">
        <v>45931</v>
      </c>
      <c r="B13">
        <v>281.19</v>
      </c>
      <c r="C13">
        <v>240.75</v>
      </c>
      <c r="D13">
        <v>291.58999999999997</v>
      </c>
      <c r="E13">
        <v>235.84</v>
      </c>
      <c r="F13" t="s">
        <v>1467</v>
      </c>
      <c r="G13" s="1">
        <v>0.15670000000000001</v>
      </c>
    </row>
    <row r="14" spans="1:7" x14ac:dyDescent="0.5">
      <c r="A14" s="3">
        <v>45901</v>
      </c>
      <c r="B14">
        <v>243.1</v>
      </c>
      <c r="C14">
        <v>208.44</v>
      </c>
      <c r="D14">
        <v>256</v>
      </c>
      <c r="E14">
        <v>206.2</v>
      </c>
      <c r="F14" t="s">
        <v>1468</v>
      </c>
      <c r="G14" s="1">
        <v>0.14180000000000001</v>
      </c>
    </row>
    <row r="15" spans="1:7" x14ac:dyDescent="0.5">
      <c r="A15" s="3">
        <v>45870</v>
      </c>
      <c r="B15">
        <v>212.91</v>
      </c>
      <c r="C15">
        <v>189.02</v>
      </c>
      <c r="D15">
        <v>214.65</v>
      </c>
      <c r="E15">
        <v>187.82</v>
      </c>
      <c r="F15" t="s">
        <v>1469</v>
      </c>
      <c r="G15" s="1">
        <v>0.1095</v>
      </c>
    </row>
    <row r="16" spans="1:7" x14ac:dyDescent="0.5">
      <c r="A16" s="3">
        <v>45839</v>
      </c>
      <c r="B16">
        <v>191.9</v>
      </c>
      <c r="C16">
        <v>175.74</v>
      </c>
      <c r="D16">
        <v>197.95</v>
      </c>
      <c r="E16">
        <v>172.77</v>
      </c>
      <c r="F16" t="s">
        <v>1470</v>
      </c>
      <c r="G16" s="1">
        <v>8.8900000000000007E-2</v>
      </c>
    </row>
    <row r="17" spans="1:7" x14ac:dyDescent="0.5">
      <c r="A17" t="s">
        <v>7</v>
      </c>
      <c r="B17">
        <v>176.23</v>
      </c>
      <c r="C17">
        <v>167.84</v>
      </c>
      <c r="D17">
        <v>181.23</v>
      </c>
      <c r="E17">
        <v>162</v>
      </c>
      <c r="F17" t="s">
        <v>597</v>
      </c>
      <c r="G17" s="1">
        <v>2.6100000000000002E-2</v>
      </c>
    </row>
    <row r="18" spans="1:7" x14ac:dyDescent="0.5">
      <c r="A18" t="s">
        <v>9</v>
      </c>
      <c r="B18">
        <v>171.74</v>
      </c>
      <c r="C18">
        <v>160.44999999999999</v>
      </c>
      <c r="D18">
        <v>176.77</v>
      </c>
      <c r="E18">
        <v>147.84</v>
      </c>
      <c r="F18" t="s">
        <v>598</v>
      </c>
      <c r="G18" s="1">
        <v>8.1500000000000003E-2</v>
      </c>
    </row>
    <row r="19" spans="1:7" x14ac:dyDescent="0.5">
      <c r="A19" t="s">
        <v>11</v>
      </c>
      <c r="B19">
        <v>158.80000000000001</v>
      </c>
      <c r="C19">
        <v>153.62</v>
      </c>
      <c r="D19">
        <v>166.1</v>
      </c>
      <c r="E19">
        <v>140.53</v>
      </c>
      <c r="F19" t="s">
        <v>599</v>
      </c>
      <c r="G19" s="1">
        <v>2.69E-2</v>
      </c>
    </row>
    <row r="20" spans="1:7" x14ac:dyDescent="0.5">
      <c r="A20" t="s">
        <v>13</v>
      </c>
      <c r="B20">
        <v>154.63999999999999</v>
      </c>
      <c r="C20">
        <v>171.93</v>
      </c>
      <c r="D20">
        <v>174.97</v>
      </c>
      <c r="E20">
        <v>150.66</v>
      </c>
      <c r="F20" t="s">
        <v>600</v>
      </c>
      <c r="G20" s="1">
        <v>-9.1800000000000007E-2</v>
      </c>
    </row>
    <row r="21" spans="1:7" x14ac:dyDescent="0.5">
      <c r="A21" t="s">
        <v>15</v>
      </c>
      <c r="B21">
        <v>170.28</v>
      </c>
      <c r="C21">
        <v>200.69</v>
      </c>
      <c r="D21">
        <v>207.05</v>
      </c>
      <c r="E21">
        <v>166.77</v>
      </c>
      <c r="F21" t="s">
        <v>601</v>
      </c>
      <c r="G21" s="1">
        <v>-0.16539999999999999</v>
      </c>
    </row>
    <row r="22" spans="1:7" x14ac:dyDescent="0.5">
      <c r="A22" t="s">
        <v>17</v>
      </c>
      <c r="B22">
        <v>204.02</v>
      </c>
      <c r="C22">
        <v>190.65</v>
      </c>
      <c r="D22">
        <v>205.48</v>
      </c>
      <c r="E22">
        <v>187.36</v>
      </c>
      <c r="F22" t="s">
        <v>602</v>
      </c>
      <c r="G22" s="1">
        <v>7.7799999999999994E-2</v>
      </c>
    </row>
    <row r="23" spans="1:7" x14ac:dyDescent="0.5">
      <c r="A23" t="s">
        <v>19</v>
      </c>
      <c r="B23">
        <v>189.3</v>
      </c>
      <c r="C23">
        <v>168.76</v>
      </c>
      <c r="D23">
        <v>201.42</v>
      </c>
      <c r="E23">
        <v>168.57</v>
      </c>
      <c r="F23" t="s">
        <v>603</v>
      </c>
      <c r="G23" s="1">
        <v>0.12039999999999999</v>
      </c>
    </row>
    <row r="24" spans="1:7" x14ac:dyDescent="0.5">
      <c r="A24" t="s">
        <v>21</v>
      </c>
      <c r="B24">
        <v>168.95</v>
      </c>
      <c r="C24">
        <v>170.07</v>
      </c>
      <c r="D24">
        <v>182.49</v>
      </c>
      <c r="E24">
        <v>163.69999999999999</v>
      </c>
      <c r="F24" t="s">
        <v>604</v>
      </c>
      <c r="G24" s="1">
        <v>-1.26E-2</v>
      </c>
    </row>
    <row r="25" spans="1:7" x14ac:dyDescent="0.5">
      <c r="A25" t="s">
        <v>23</v>
      </c>
      <c r="B25">
        <v>171.11</v>
      </c>
      <c r="C25">
        <v>167.68</v>
      </c>
      <c r="D25">
        <v>182.02</v>
      </c>
      <c r="E25">
        <v>159.74</v>
      </c>
      <c r="F25" t="s">
        <v>605</v>
      </c>
      <c r="G25" s="1">
        <v>3.1699999999999999E-2</v>
      </c>
    </row>
    <row r="26" spans="1:7" x14ac:dyDescent="0.5">
      <c r="A26" t="s">
        <v>25</v>
      </c>
      <c r="B26">
        <v>165.85</v>
      </c>
      <c r="C26">
        <v>161.72</v>
      </c>
      <c r="D26">
        <v>166.15</v>
      </c>
      <c r="E26">
        <v>147.21</v>
      </c>
      <c r="F26" t="s">
        <v>606</v>
      </c>
      <c r="G26" s="1">
        <v>1.5100000000000001E-2</v>
      </c>
    </row>
    <row r="27" spans="1:7" x14ac:dyDescent="0.5">
      <c r="A27" t="s">
        <v>27</v>
      </c>
      <c r="B27">
        <v>163.38</v>
      </c>
      <c r="C27">
        <v>170.25</v>
      </c>
      <c r="D27">
        <v>174.05</v>
      </c>
      <c r="E27">
        <v>154.93</v>
      </c>
      <c r="F27" t="s">
        <v>607</v>
      </c>
      <c r="G27" s="1">
        <v>-4.7600000000000003E-2</v>
      </c>
    </row>
    <row r="28" spans="1:7" x14ac:dyDescent="0.5">
      <c r="A28" t="s">
        <v>29</v>
      </c>
      <c r="B28">
        <v>171.54</v>
      </c>
      <c r="C28">
        <v>183.03</v>
      </c>
      <c r="D28">
        <v>191.75</v>
      </c>
      <c r="E28">
        <v>164.06</v>
      </c>
      <c r="F28" t="s">
        <v>608</v>
      </c>
      <c r="G28" s="1">
        <v>-5.8200000000000002E-2</v>
      </c>
    </row>
    <row r="29" spans="1:7" x14ac:dyDescent="0.5">
      <c r="A29" t="s">
        <v>31</v>
      </c>
      <c r="B29">
        <v>182.15</v>
      </c>
      <c r="C29">
        <v>172.54</v>
      </c>
      <c r="D29">
        <v>186.05</v>
      </c>
      <c r="E29">
        <v>171.16</v>
      </c>
      <c r="F29" t="s">
        <v>609</v>
      </c>
      <c r="G29" s="1">
        <v>5.5899999999999998E-2</v>
      </c>
    </row>
    <row r="30" spans="1:7" x14ac:dyDescent="0.5">
      <c r="A30" t="s">
        <v>33</v>
      </c>
      <c r="B30">
        <v>172.5</v>
      </c>
      <c r="C30">
        <v>164.3</v>
      </c>
      <c r="D30">
        <v>178.77</v>
      </c>
      <c r="E30">
        <v>163.05000000000001</v>
      </c>
      <c r="F30" t="s">
        <v>610</v>
      </c>
      <c r="G30" s="1">
        <v>5.9700000000000003E-2</v>
      </c>
    </row>
    <row r="31" spans="1:7" x14ac:dyDescent="0.5">
      <c r="A31" t="s">
        <v>35</v>
      </c>
      <c r="B31">
        <v>162.78</v>
      </c>
      <c r="C31">
        <v>150.69</v>
      </c>
      <c r="D31">
        <v>174.71</v>
      </c>
      <c r="E31">
        <v>149.6</v>
      </c>
      <c r="F31" t="s">
        <v>611</v>
      </c>
      <c r="G31" s="1">
        <v>7.85E-2</v>
      </c>
    </row>
    <row r="32" spans="1:7" x14ac:dyDescent="0.5">
      <c r="A32" t="s">
        <v>37</v>
      </c>
      <c r="B32">
        <v>150.93</v>
      </c>
      <c r="C32">
        <v>138.43</v>
      </c>
      <c r="D32">
        <v>152.26</v>
      </c>
      <c r="E32">
        <v>130.66</v>
      </c>
      <c r="F32" t="s">
        <v>612</v>
      </c>
      <c r="G32" s="1">
        <v>9.01E-2</v>
      </c>
    </row>
    <row r="33" spans="1:7" x14ac:dyDescent="0.5">
      <c r="A33" t="s">
        <v>39</v>
      </c>
      <c r="B33">
        <v>138.46</v>
      </c>
      <c r="C33">
        <v>142.12</v>
      </c>
      <c r="D33">
        <v>149.44</v>
      </c>
      <c r="E33">
        <v>135.41</v>
      </c>
      <c r="F33" t="s">
        <v>613</v>
      </c>
      <c r="G33" s="1">
        <v>-1.17E-2</v>
      </c>
    </row>
    <row r="34" spans="1:7" x14ac:dyDescent="0.5">
      <c r="A34" t="s">
        <v>41</v>
      </c>
      <c r="B34">
        <v>140.1</v>
      </c>
      <c r="C34">
        <v>138.55000000000001</v>
      </c>
      <c r="D34">
        <v>153.78</v>
      </c>
      <c r="E34">
        <v>135.15</v>
      </c>
      <c r="F34" t="s">
        <v>614</v>
      </c>
      <c r="G34" s="1">
        <v>2.8999999999999998E-3</v>
      </c>
    </row>
    <row r="35" spans="1:7" x14ac:dyDescent="0.5">
      <c r="A35" t="s">
        <v>43</v>
      </c>
      <c r="B35">
        <v>139.69</v>
      </c>
      <c r="C35">
        <v>131.86000000000001</v>
      </c>
      <c r="D35">
        <v>142.68</v>
      </c>
      <c r="E35">
        <v>127.9</v>
      </c>
      <c r="F35" t="s">
        <v>615</v>
      </c>
      <c r="G35" s="1">
        <v>5.3999999999999999E-2</v>
      </c>
    </row>
    <row r="36" spans="1:7" x14ac:dyDescent="0.5">
      <c r="A36" t="s">
        <v>45</v>
      </c>
      <c r="B36">
        <v>132.53</v>
      </c>
      <c r="C36">
        <v>124.07</v>
      </c>
      <c r="D36">
        <v>139.41999999999999</v>
      </c>
      <c r="E36">
        <v>123.71</v>
      </c>
      <c r="F36" t="s">
        <v>616</v>
      </c>
      <c r="G36" s="1">
        <v>6.8099999999999994E-2</v>
      </c>
    </row>
    <row r="37" spans="1:7" x14ac:dyDescent="0.5">
      <c r="A37" t="s">
        <v>47</v>
      </c>
      <c r="B37">
        <v>124.08</v>
      </c>
      <c r="C37">
        <v>131.21</v>
      </c>
      <c r="D37">
        <v>141.22</v>
      </c>
      <c r="E37">
        <v>120.21</v>
      </c>
      <c r="F37" t="s">
        <v>617</v>
      </c>
      <c r="G37" s="1">
        <v>-5.1799999999999999E-2</v>
      </c>
    </row>
    <row r="38" spans="1:7" x14ac:dyDescent="0.5">
      <c r="A38" t="s">
        <v>49</v>
      </c>
      <c r="B38">
        <v>130.86000000000001</v>
      </c>
      <c r="C38">
        <v>137.46</v>
      </c>
      <c r="D38">
        <v>139.16</v>
      </c>
      <c r="E38">
        <v>127.22</v>
      </c>
      <c r="F38" t="s">
        <v>618</v>
      </c>
      <c r="G38" s="1">
        <v>-3.9E-2</v>
      </c>
    </row>
    <row r="39" spans="1:7" x14ac:dyDescent="0.5">
      <c r="A39" t="s">
        <v>51</v>
      </c>
      <c r="B39">
        <v>136.16999999999999</v>
      </c>
      <c r="C39">
        <v>130.77000000000001</v>
      </c>
      <c r="D39">
        <v>138</v>
      </c>
      <c r="E39">
        <v>126.38</v>
      </c>
      <c r="F39" t="s">
        <v>619</v>
      </c>
      <c r="G39" s="1">
        <v>2.5999999999999999E-2</v>
      </c>
    </row>
    <row r="40" spans="1:7" x14ac:dyDescent="0.5">
      <c r="A40" t="s">
        <v>53</v>
      </c>
      <c r="B40">
        <v>132.72</v>
      </c>
      <c r="C40">
        <v>119.24</v>
      </c>
      <c r="D40">
        <v>133.74</v>
      </c>
      <c r="E40">
        <v>115.35</v>
      </c>
      <c r="F40" t="s">
        <v>620</v>
      </c>
      <c r="G40" s="1">
        <v>0.10879999999999999</v>
      </c>
    </row>
    <row r="41" spans="1:7" x14ac:dyDescent="0.5">
      <c r="A41" t="s">
        <v>55</v>
      </c>
      <c r="B41">
        <v>119.7</v>
      </c>
      <c r="C41">
        <v>122.82</v>
      </c>
      <c r="D41">
        <v>129.04</v>
      </c>
      <c r="E41">
        <v>116.1</v>
      </c>
      <c r="F41" t="s">
        <v>621</v>
      </c>
      <c r="G41" s="1">
        <v>-2.58E-2</v>
      </c>
    </row>
    <row r="42" spans="1:7" x14ac:dyDescent="0.5">
      <c r="A42" t="s">
        <v>57</v>
      </c>
      <c r="B42">
        <v>122.87</v>
      </c>
      <c r="C42">
        <v>106.84</v>
      </c>
      <c r="D42">
        <v>126.43</v>
      </c>
      <c r="E42">
        <v>103.71</v>
      </c>
      <c r="F42" t="s">
        <v>622</v>
      </c>
      <c r="G42" s="1">
        <v>0.1447</v>
      </c>
    </row>
    <row r="43" spans="1:7" x14ac:dyDescent="0.5">
      <c r="A43" t="s">
        <v>59</v>
      </c>
      <c r="B43">
        <v>107.34</v>
      </c>
      <c r="C43">
        <v>102.39</v>
      </c>
      <c r="D43">
        <v>109.17</v>
      </c>
      <c r="E43">
        <v>101.93</v>
      </c>
      <c r="F43" t="s">
        <v>623</v>
      </c>
      <c r="G43" s="1">
        <v>3.4799999999999998E-2</v>
      </c>
    </row>
    <row r="44" spans="1:7" x14ac:dyDescent="0.5">
      <c r="A44" t="s">
        <v>61</v>
      </c>
      <c r="B44">
        <v>103.73</v>
      </c>
      <c r="C44">
        <v>89.98</v>
      </c>
      <c r="D44">
        <v>106.59</v>
      </c>
      <c r="E44">
        <v>89.42</v>
      </c>
      <c r="F44" t="s">
        <v>624</v>
      </c>
      <c r="G44" s="1">
        <v>0.15179999999999999</v>
      </c>
    </row>
    <row r="45" spans="1:7" x14ac:dyDescent="0.5">
      <c r="A45" t="s">
        <v>62</v>
      </c>
      <c r="B45">
        <v>90.06</v>
      </c>
      <c r="C45">
        <v>98.71</v>
      </c>
      <c r="D45">
        <v>108.18</v>
      </c>
      <c r="E45">
        <v>88.57</v>
      </c>
      <c r="F45" t="s">
        <v>625</v>
      </c>
      <c r="G45" s="1">
        <v>-8.8800000000000004E-2</v>
      </c>
    </row>
    <row r="46" spans="1:7" x14ac:dyDescent="0.5">
      <c r="A46" t="s">
        <v>64</v>
      </c>
      <c r="B46">
        <v>98.84</v>
      </c>
      <c r="C46">
        <v>89.58</v>
      </c>
      <c r="D46">
        <v>100.32</v>
      </c>
      <c r="E46">
        <v>84.86</v>
      </c>
      <c r="F46" t="s">
        <v>626</v>
      </c>
      <c r="G46" s="1">
        <v>0.1203</v>
      </c>
    </row>
    <row r="47" spans="1:7" x14ac:dyDescent="0.5">
      <c r="A47" t="s">
        <v>66</v>
      </c>
      <c r="B47">
        <v>88.23</v>
      </c>
      <c r="C47">
        <v>101.02</v>
      </c>
      <c r="D47">
        <v>102.25</v>
      </c>
      <c r="E47">
        <v>85.94</v>
      </c>
      <c r="F47" t="s">
        <v>627</v>
      </c>
      <c r="G47" s="1">
        <v>-0.1263</v>
      </c>
    </row>
    <row r="48" spans="1:7" x14ac:dyDescent="0.5">
      <c r="A48" t="s">
        <v>68</v>
      </c>
      <c r="B48">
        <v>100.99</v>
      </c>
      <c r="C48">
        <v>95.45</v>
      </c>
      <c r="D48">
        <v>101.04</v>
      </c>
      <c r="E48">
        <v>83.34</v>
      </c>
      <c r="F48" t="s">
        <v>628</v>
      </c>
      <c r="G48" s="1">
        <v>6.8599999999999994E-2</v>
      </c>
    </row>
    <row r="49" spans="1:7" x14ac:dyDescent="0.5">
      <c r="A49" t="s">
        <v>70</v>
      </c>
      <c r="B49">
        <v>94.51</v>
      </c>
      <c r="C49">
        <v>96.76</v>
      </c>
      <c r="D49">
        <v>104.82</v>
      </c>
      <c r="E49">
        <v>91.8</v>
      </c>
      <c r="F49" t="s">
        <v>629</v>
      </c>
      <c r="G49" s="1">
        <v>-1.1900000000000001E-2</v>
      </c>
    </row>
    <row r="50" spans="1:7" x14ac:dyDescent="0.5">
      <c r="A50" t="s">
        <v>72</v>
      </c>
      <c r="B50">
        <v>95.65</v>
      </c>
      <c r="C50">
        <v>108.28</v>
      </c>
      <c r="D50">
        <v>111.62</v>
      </c>
      <c r="E50">
        <v>95.56</v>
      </c>
      <c r="F50" t="s">
        <v>630</v>
      </c>
      <c r="G50" s="1">
        <v>-0.1162</v>
      </c>
    </row>
    <row r="51" spans="1:7" x14ac:dyDescent="0.5">
      <c r="A51" t="s">
        <v>74</v>
      </c>
      <c r="B51">
        <v>108.22</v>
      </c>
      <c r="C51">
        <v>115.3</v>
      </c>
      <c r="D51">
        <v>122.43</v>
      </c>
      <c r="E51">
        <v>107.8</v>
      </c>
      <c r="F51" t="s">
        <v>631</v>
      </c>
      <c r="G51" s="1">
        <v>-6.9599999999999995E-2</v>
      </c>
    </row>
    <row r="52" spans="1:7" x14ac:dyDescent="0.5">
      <c r="A52" t="s">
        <v>76</v>
      </c>
      <c r="B52">
        <v>116.32</v>
      </c>
      <c r="C52">
        <v>107.93</v>
      </c>
      <c r="D52">
        <v>119.68</v>
      </c>
      <c r="E52">
        <v>104.07</v>
      </c>
      <c r="F52" t="s">
        <v>632</v>
      </c>
      <c r="G52" s="1">
        <v>6.7500000000000004E-2</v>
      </c>
    </row>
    <row r="53" spans="1:7" x14ac:dyDescent="0.5">
      <c r="A53" t="s">
        <v>78</v>
      </c>
      <c r="B53">
        <v>108.96</v>
      </c>
      <c r="C53">
        <v>114.86</v>
      </c>
      <c r="D53">
        <v>119.35</v>
      </c>
      <c r="E53">
        <v>105.05</v>
      </c>
      <c r="F53" t="s">
        <v>633</v>
      </c>
      <c r="G53" s="1">
        <v>-4.2200000000000001E-2</v>
      </c>
    </row>
    <row r="54" spans="1:7" x14ac:dyDescent="0.5">
      <c r="A54" t="s">
        <v>80</v>
      </c>
      <c r="B54">
        <v>113.76</v>
      </c>
      <c r="C54">
        <v>113.4</v>
      </c>
      <c r="D54">
        <v>122.85</v>
      </c>
      <c r="E54">
        <v>101.88</v>
      </c>
      <c r="F54" t="s">
        <v>634</v>
      </c>
      <c r="G54" s="1">
        <v>-3.0000000000000001E-3</v>
      </c>
    </row>
    <row r="55" spans="1:7" x14ac:dyDescent="0.5">
      <c r="A55" t="s">
        <v>82</v>
      </c>
      <c r="B55">
        <v>114.11</v>
      </c>
      <c r="C55">
        <v>139.5</v>
      </c>
      <c r="D55">
        <v>143.71</v>
      </c>
      <c r="E55">
        <v>112.74</v>
      </c>
      <c r="F55" t="s">
        <v>635</v>
      </c>
      <c r="G55" s="1">
        <v>-0.17949999999999999</v>
      </c>
    </row>
    <row r="56" spans="1:7" x14ac:dyDescent="0.5">
      <c r="A56" t="s">
        <v>84</v>
      </c>
      <c r="B56">
        <v>139.07</v>
      </c>
      <c r="C56">
        <v>134.88</v>
      </c>
      <c r="D56">
        <v>143.79</v>
      </c>
      <c r="E56">
        <v>125.28</v>
      </c>
      <c r="F56" t="s">
        <v>636</v>
      </c>
      <c r="G56" s="1">
        <v>2.9700000000000001E-2</v>
      </c>
    </row>
    <row r="57" spans="1:7" x14ac:dyDescent="0.5">
      <c r="A57" t="s">
        <v>86</v>
      </c>
      <c r="B57">
        <v>135.06</v>
      </c>
      <c r="C57">
        <v>137.59</v>
      </c>
      <c r="D57">
        <v>151.55000000000001</v>
      </c>
      <c r="E57">
        <v>124.95</v>
      </c>
      <c r="F57" t="s">
        <v>637</v>
      </c>
      <c r="G57" s="1">
        <v>-1.8E-3</v>
      </c>
    </row>
    <row r="58" spans="1:7" x14ac:dyDescent="0.5">
      <c r="A58" t="s">
        <v>88</v>
      </c>
      <c r="B58">
        <v>135.30000000000001</v>
      </c>
      <c r="C58">
        <v>145.05000000000001</v>
      </c>
      <c r="D58">
        <v>146.47999999999999</v>
      </c>
      <c r="E58">
        <v>124.5</v>
      </c>
      <c r="F58" t="s">
        <v>638</v>
      </c>
      <c r="G58" s="1">
        <v>-6.59E-2</v>
      </c>
    </row>
    <row r="59" spans="1:7" x14ac:dyDescent="0.5">
      <c r="A59" t="s">
        <v>90</v>
      </c>
      <c r="B59">
        <v>144.85</v>
      </c>
      <c r="C59">
        <v>144</v>
      </c>
      <c r="D59">
        <v>149.1</v>
      </c>
      <c r="E59">
        <v>139.32</v>
      </c>
      <c r="F59" t="s">
        <v>639</v>
      </c>
      <c r="G59" s="1">
        <v>2.0799999999999999E-2</v>
      </c>
    </row>
    <row r="60" spans="1:7" x14ac:dyDescent="0.5">
      <c r="A60" t="s">
        <v>92</v>
      </c>
      <c r="B60">
        <v>141.9</v>
      </c>
      <c r="C60">
        <v>148.05000000000001</v>
      </c>
      <c r="D60">
        <v>150.97</v>
      </c>
      <c r="E60">
        <v>141.6</v>
      </c>
      <c r="F60" t="s">
        <v>640</v>
      </c>
      <c r="G60" s="1">
        <v>-4.1500000000000002E-2</v>
      </c>
    </row>
    <row r="61" spans="1:7" x14ac:dyDescent="0.5">
      <c r="A61" t="s">
        <v>94</v>
      </c>
      <c r="B61">
        <v>148.05000000000001</v>
      </c>
      <c r="C61">
        <v>134.44999999999999</v>
      </c>
      <c r="D61">
        <v>148.65</v>
      </c>
      <c r="E61">
        <v>131.05000000000001</v>
      </c>
      <c r="F61" t="s">
        <v>641</v>
      </c>
      <c r="G61" s="1">
        <v>0.1075</v>
      </c>
    </row>
    <row r="62" spans="1:7" x14ac:dyDescent="0.5">
      <c r="A62" t="s">
        <v>96</v>
      </c>
      <c r="B62">
        <v>133.68</v>
      </c>
      <c r="C62">
        <v>145</v>
      </c>
      <c r="D62">
        <v>146.25</v>
      </c>
      <c r="E62">
        <v>133.56</v>
      </c>
      <c r="F62" t="s">
        <v>642</v>
      </c>
      <c r="G62" s="1">
        <v>-7.6200000000000004E-2</v>
      </c>
    </row>
    <row r="63" spans="1:7" x14ac:dyDescent="0.5">
      <c r="A63" t="s">
        <v>98</v>
      </c>
      <c r="B63">
        <v>144.69999999999999</v>
      </c>
      <c r="C63">
        <v>135.12</v>
      </c>
      <c r="D63">
        <v>145.97</v>
      </c>
      <c r="E63">
        <v>133.32</v>
      </c>
      <c r="F63" t="s">
        <v>643</v>
      </c>
      <c r="G63" s="1">
        <v>7.3999999999999996E-2</v>
      </c>
    </row>
    <row r="64" spans="1:7" x14ac:dyDescent="0.5">
      <c r="A64" t="s">
        <v>100</v>
      </c>
      <c r="B64">
        <v>134.72999999999999</v>
      </c>
      <c r="C64">
        <v>121.72</v>
      </c>
      <c r="D64">
        <v>138.30000000000001</v>
      </c>
      <c r="E64">
        <v>121.53</v>
      </c>
      <c r="F64" t="s">
        <v>644</v>
      </c>
      <c r="G64" s="1">
        <v>0.10349999999999999</v>
      </c>
    </row>
    <row r="65" spans="1:7" x14ac:dyDescent="0.5">
      <c r="A65" t="s">
        <v>102</v>
      </c>
      <c r="B65">
        <v>122.09</v>
      </c>
      <c r="C65">
        <v>118.72</v>
      </c>
      <c r="D65">
        <v>123.1</v>
      </c>
      <c r="E65">
        <v>116.48</v>
      </c>
      <c r="F65" t="s">
        <v>645</v>
      </c>
      <c r="G65" s="1">
        <v>3.5999999999999997E-2</v>
      </c>
    </row>
    <row r="66" spans="1:7" x14ac:dyDescent="0.5">
      <c r="A66" t="s">
        <v>104</v>
      </c>
      <c r="B66">
        <v>117.84</v>
      </c>
      <c r="C66">
        <v>118.25</v>
      </c>
      <c r="D66">
        <v>119.45</v>
      </c>
      <c r="E66">
        <v>109.68</v>
      </c>
      <c r="F66" t="s">
        <v>646</v>
      </c>
      <c r="G66" s="1">
        <v>1.4E-3</v>
      </c>
    </row>
    <row r="67" spans="1:7" x14ac:dyDescent="0.5">
      <c r="A67" t="s">
        <v>106</v>
      </c>
      <c r="B67">
        <v>117.68</v>
      </c>
      <c r="C67">
        <v>104.61</v>
      </c>
      <c r="D67">
        <v>121.57</v>
      </c>
      <c r="E67">
        <v>104.57</v>
      </c>
      <c r="F67" t="s">
        <v>647</v>
      </c>
      <c r="G67" s="1">
        <v>0.1411</v>
      </c>
    </row>
    <row r="68" spans="1:7" x14ac:dyDescent="0.5">
      <c r="A68" t="s">
        <v>108</v>
      </c>
      <c r="B68">
        <v>103.13</v>
      </c>
      <c r="C68">
        <v>102.4</v>
      </c>
      <c r="D68">
        <v>105.69</v>
      </c>
      <c r="E68">
        <v>99.7</v>
      </c>
      <c r="F68" t="s">
        <v>648</v>
      </c>
      <c r="G68" s="1">
        <v>2.01E-2</v>
      </c>
    </row>
    <row r="69" spans="1:7" x14ac:dyDescent="0.5">
      <c r="A69" t="s">
        <v>110</v>
      </c>
      <c r="B69">
        <v>101.1</v>
      </c>
      <c r="C69">
        <v>92.23</v>
      </c>
      <c r="D69">
        <v>107.26</v>
      </c>
      <c r="E69">
        <v>92.23</v>
      </c>
      <c r="F69" t="s">
        <v>649</v>
      </c>
      <c r="G69" s="1">
        <v>0.1065</v>
      </c>
    </row>
    <row r="70" spans="1:7" x14ac:dyDescent="0.5">
      <c r="A70" t="s">
        <v>112</v>
      </c>
      <c r="B70">
        <v>91.37</v>
      </c>
      <c r="C70">
        <v>88</v>
      </c>
      <c r="D70">
        <v>96.6</v>
      </c>
      <c r="E70">
        <v>84.81</v>
      </c>
      <c r="F70" t="s">
        <v>650</v>
      </c>
      <c r="G70" s="1">
        <v>4.2599999999999999E-2</v>
      </c>
    </row>
    <row r="71" spans="1:7" x14ac:dyDescent="0.5">
      <c r="A71" t="s">
        <v>114</v>
      </c>
      <c r="B71">
        <v>87.63</v>
      </c>
      <c r="C71">
        <v>88.33</v>
      </c>
      <c r="D71">
        <v>92.19</v>
      </c>
      <c r="E71">
        <v>84.7</v>
      </c>
      <c r="F71" t="s">
        <v>651</v>
      </c>
      <c r="G71" s="1">
        <v>-1E-3</v>
      </c>
    </row>
    <row r="72" spans="1:7" x14ac:dyDescent="0.5">
      <c r="A72" t="s">
        <v>116</v>
      </c>
      <c r="B72">
        <v>87.72</v>
      </c>
      <c r="C72">
        <v>81.180000000000007</v>
      </c>
      <c r="D72">
        <v>90.84</v>
      </c>
      <c r="E72">
        <v>80.61</v>
      </c>
      <c r="F72" t="s">
        <v>652</v>
      </c>
      <c r="G72" s="1">
        <v>8.5599999999999996E-2</v>
      </c>
    </row>
    <row r="73" spans="1:7" x14ac:dyDescent="0.5">
      <c r="A73" t="s">
        <v>118</v>
      </c>
      <c r="B73">
        <v>80.81</v>
      </c>
      <c r="C73">
        <v>74.180000000000007</v>
      </c>
      <c r="D73">
        <v>84.07</v>
      </c>
      <c r="E73">
        <v>71.66</v>
      </c>
      <c r="F73" t="s">
        <v>653</v>
      </c>
      <c r="G73" s="1">
        <v>0.1027</v>
      </c>
    </row>
    <row r="74" spans="1:7" x14ac:dyDescent="0.5">
      <c r="A74" t="s">
        <v>120</v>
      </c>
      <c r="B74">
        <v>73.28</v>
      </c>
      <c r="C74">
        <v>81.61</v>
      </c>
      <c r="D74">
        <v>86.31</v>
      </c>
      <c r="E74">
        <v>70.11</v>
      </c>
      <c r="F74" t="s">
        <v>654</v>
      </c>
      <c r="G74" s="1">
        <v>-0.10059999999999999</v>
      </c>
    </row>
    <row r="75" spans="1:7" x14ac:dyDescent="0.5">
      <c r="A75" t="s">
        <v>122</v>
      </c>
      <c r="B75">
        <v>81.48</v>
      </c>
      <c r="C75">
        <v>74.55</v>
      </c>
      <c r="D75">
        <v>82.64</v>
      </c>
      <c r="E75">
        <v>73.2</v>
      </c>
      <c r="F75" t="s">
        <v>655</v>
      </c>
      <c r="G75" s="1">
        <v>9.5200000000000007E-2</v>
      </c>
    </row>
    <row r="76" spans="1:7" x14ac:dyDescent="0.5">
      <c r="A76" t="s">
        <v>124</v>
      </c>
      <c r="B76">
        <v>74.400000000000006</v>
      </c>
      <c r="C76">
        <v>70.959999999999994</v>
      </c>
      <c r="D76">
        <v>79.349999999999994</v>
      </c>
      <c r="E76">
        <v>70.709999999999994</v>
      </c>
      <c r="F76" t="s">
        <v>656</v>
      </c>
      <c r="G76" s="1">
        <v>4.9299999999999997E-2</v>
      </c>
    </row>
    <row r="77" spans="1:7" x14ac:dyDescent="0.5">
      <c r="A77" t="s">
        <v>126</v>
      </c>
      <c r="B77">
        <v>70.900000000000006</v>
      </c>
      <c r="C77">
        <v>71.290000000000006</v>
      </c>
      <c r="D77">
        <v>73.790000000000006</v>
      </c>
      <c r="E77">
        <v>67.58</v>
      </c>
      <c r="F77" t="s">
        <v>657</v>
      </c>
      <c r="G77" s="1">
        <v>-1.0800000000000001E-2</v>
      </c>
    </row>
    <row r="78" spans="1:7" x14ac:dyDescent="0.5">
      <c r="A78" t="s">
        <v>128</v>
      </c>
      <c r="B78">
        <v>71.680000000000007</v>
      </c>
      <c r="C78">
        <v>66.2</v>
      </c>
      <c r="D78">
        <v>72.260000000000005</v>
      </c>
      <c r="E78">
        <v>64.8</v>
      </c>
      <c r="F78" t="s">
        <v>658</v>
      </c>
      <c r="G78" s="1">
        <v>6.4500000000000002E-2</v>
      </c>
    </row>
    <row r="79" spans="1:7" x14ac:dyDescent="0.5">
      <c r="A79" t="s">
        <v>130</v>
      </c>
      <c r="B79">
        <v>67.33</v>
      </c>
      <c r="C79">
        <v>56.2</v>
      </c>
      <c r="D79">
        <v>68.010000000000005</v>
      </c>
      <c r="E79">
        <v>53.75</v>
      </c>
      <c r="F79" t="s">
        <v>310</v>
      </c>
      <c r="G79" s="1">
        <v>0.159</v>
      </c>
    </row>
    <row r="80" spans="1:7" x14ac:dyDescent="0.5">
      <c r="A80" t="s">
        <v>132</v>
      </c>
      <c r="B80">
        <v>58.1</v>
      </c>
      <c r="C80">
        <v>67.569999999999993</v>
      </c>
      <c r="D80">
        <v>70.41</v>
      </c>
      <c r="E80">
        <v>50.44</v>
      </c>
      <c r="F80" t="s">
        <v>351</v>
      </c>
      <c r="G80" s="1">
        <v>-0.13239999999999999</v>
      </c>
    </row>
    <row r="81" spans="1:7" x14ac:dyDescent="0.5">
      <c r="A81" t="s">
        <v>134</v>
      </c>
      <c r="B81">
        <v>66.959999999999994</v>
      </c>
      <c r="C81">
        <v>73.08</v>
      </c>
      <c r="D81">
        <v>76.540000000000006</v>
      </c>
      <c r="E81">
        <v>63.41</v>
      </c>
      <c r="F81" t="s">
        <v>659</v>
      </c>
      <c r="G81" s="1">
        <v>-6.5299999999999997E-2</v>
      </c>
    </row>
    <row r="82" spans="1:7" x14ac:dyDescent="0.5">
      <c r="A82" t="s">
        <v>136</v>
      </c>
      <c r="B82">
        <v>71.64</v>
      </c>
      <c r="C82">
        <v>67.42</v>
      </c>
      <c r="D82">
        <v>75.03</v>
      </c>
      <c r="E82">
        <v>67.319999999999993</v>
      </c>
      <c r="F82" t="s">
        <v>660</v>
      </c>
      <c r="G82" s="1">
        <v>6.9699999999999998E-2</v>
      </c>
    </row>
    <row r="83" spans="1:7" x14ac:dyDescent="0.5">
      <c r="A83" t="s">
        <v>138</v>
      </c>
      <c r="B83">
        <v>66.97</v>
      </c>
      <c r="C83">
        <v>65.13</v>
      </c>
      <c r="D83">
        <v>68.349999999999994</v>
      </c>
      <c r="E83">
        <v>63.85</v>
      </c>
      <c r="F83" t="s">
        <v>661</v>
      </c>
      <c r="G83" s="1">
        <v>2.7099999999999999E-2</v>
      </c>
    </row>
    <row r="84" spans="1:7" x14ac:dyDescent="0.5">
      <c r="A84" t="s">
        <v>140</v>
      </c>
      <c r="B84">
        <v>65.2</v>
      </c>
      <c r="C84">
        <v>63.29</v>
      </c>
      <c r="D84">
        <v>66.7</v>
      </c>
      <c r="E84">
        <v>62.99</v>
      </c>
      <c r="F84" t="s">
        <v>662</v>
      </c>
      <c r="G84" s="1">
        <v>3.5999999999999997E-2</v>
      </c>
    </row>
    <row r="85" spans="1:7" x14ac:dyDescent="0.5">
      <c r="A85" t="s">
        <v>142</v>
      </c>
      <c r="B85">
        <v>62.94</v>
      </c>
      <c r="C85">
        <v>61.12</v>
      </c>
      <c r="D85">
        <v>64.959999999999994</v>
      </c>
      <c r="E85">
        <v>58.16</v>
      </c>
      <c r="F85" t="s">
        <v>663</v>
      </c>
      <c r="G85" s="1">
        <v>3.0800000000000001E-2</v>
      </c>
    </row>
    <row r="86" spans="1:7" x14ac:dyDescent="0.5">
      <c r="A86" t="s">
        <v>144</v>
      </c>
      <c r="B86">
        <v>61.06</v>
      </c>
      <c r="C86">
        <v>59.09</v>
      </c>
      <c r="D86">
        <v>62.4</v>
      </c>
      <c r="E86">
        <v>58.19</v>
      </c>
      <c r="F86" t="s">
        <v>664</v>
      </c>
      <c r="G86" s="1">
        <v>2.5700000000000001E-2</v>
      </c>
    </row>
    <row r="87" spans="1:7" x14ac:dyDescent="0.5">
      <c r="A87" t="s">
        <v>146</v>
      </c>
      <c r="B87">
        <v>59.53</v>
      </c>
      <c r="C87">
        <v>60.88</v>
      </c>
      <c r="D87">
        <v>61.81</v>
      </c>
      <c r="E87">
        <v>57.14</v>
      </c>
      <c r="F87" t="s">
        <v>665</v>
      </c>
      <c r="G87" s="1">
        <v>-2.2700000000000001E-2</v>
      </c>
    </row>
    <row r="88" spans="1:7" x14ac:dyDescent="0.5">
      <c r="A88" t="s">
        <v>148</v>
      </c>
      <c r="B88">
        <v>60.91</v>
      </c>
      <c r="C88">
        <v>55.05</v>
      </c>
      <c r="D88">
        <v>63.42</v>
      </c>
      <c r="E88">
        <v>54.77</v>
      </c>
      <c r="F88" t="s">
        <v>666</v>
      </c>
      <c r="G88" s="1">
        <v>0.125</v>
      </c>
    </row>
    <row r="89" spans="1:7" x14ac:dyDescent="0.5">
      <c r="A89" t="s">
        <v>150</v>
      </c>
      <c r="B89">
        <v>54.14</v>
      </c>
      <c r="C89">
        <v>53.35</v>
      </c>
      <c r="D89">
        <v>56.33</v>
      </c>
      <c r="E89">
        <v>51.35</v>
      </c>
      <c r="F89" t="s">
        <v>667</v>
      </c>
      <c r="G89" s="1">
        <v>-2.1399999999999999E-2</v>
      </c>
    </row>
    <row r="90" spans="1:7" x14ac:dyDescent="0.5">
      <c r="A90" t="s">
        <v>152</v>
      </c>
      <c r="B90">
        <v>55.33</v>
      </c>
      <c r="C90">
        <v>59.88</v>
      </c>
      <c r="D90">
        <v>59.96</v>
      </c>
      <c r="E90">
        <v>55.17</v>
      </c>
      <c r="F90" t="s">
        <v>668</v>
      </c>
      <c r="G90" s="1">
        <v>-7.7100000000000002E-2</v>
      </c>
    </row>
    <row r="91" spans="1:7" x14ac:dyDescent="0.5">
      <c r="A91" t="s">
        <v>154</v>
      </c>
      <c r="B91">
        <v>59.95</v>
      </c>
      <c r="C91">
        <v>59.38</v>
      </c>
      <c r="D91">
        <v>64.849999999999994</v>
      </c>
      <c r="E91">
        <v>59.15</v>
      </c>
      <c r="F91" t="s">
        <v>669</v>
      </c>
      <c r="G91" s="1">
        <v>1.8800000000000001E-2</v>
      </c>
    </row>
    <row r="92" spans="1:7" x14ac:dyDescent="0.5">
      <c r="A92" t="s">
        <v>156</v>
      </c>
      <c r="B92">
        <v>58.84</v>
      </c>
      <c r="C92">
        <v>56.55</v>
      </c>
      <c r="D92">
        <v>61.82</v>
      </c>
      <c r="E92">
        <v>56.51</v>
      </c>
      <c r="F92" t="s">
        <v>670</v>
      </c>
      <c r="G92" s="1">
        <v>4.4699999999999997E-2</v>
      </c>
    </row>
    <row r="93" spans="1:7" x14ac:dyDescent="0.5">
      <c r="A93" t="s">
        <v>158</v>
      </c>
      <c r="B93">
        <v>56.33</v>
      </c>
      <c r="C93">
        <v>56.11</v>
      </c>
      <c r="D93">
        <v>57.7</v>
      </c>
      <c r="E93">
        <v>54.68</v>
      </c>
      <c r="F93" t="s">
        <v>671</v>
      </c>
      <c r="G93" s="1">
        <v>5.9999999999999995E-4</v>
      </c>
    </row>
    <row r="94" spans="1:7" x14ac:dyDescent="0.5">
      <c r="A94" t="s">
        <v>160</v>
      </c>
      <c r="B94">
        <v>56.29</v>
      </c>
      <c r="C94">
        <v>51.36</v>
      </c>
      <c r="D94">
        <v>56.38</v>
      </c>
      <c r="E94">
        <v>51.12</v>
      </c>
      <c r="F94" t="s">
        <v>672</v>
      </c>
      <c r="G94" s="1">
        <v>7.7399999999999997E-2</v>
      </c>
    </row>
    <row r="95" spans="1:7" x14ac:dyDescent="0.5">
      <c r="A95" t="s">
        <v>162</v>
      </c>
      <c r="B95">
        <v>52.25</v>
      </c>
      <c r="C95">
        <v>56.61</v>
      </c>
      <c r="D95">
        <v>56.75</v>
      </c>
      <c r="E95">
        <v>48.88</v>
      </c>
      <c r="F95" t="s">
        <v>673</v>
      </c>
      <c r="G95" s="1">
        <v>-5.8299999999999998E-2</v>
      </c>
    </row>
    <row r="96" spans="1:7" x14ac:dyDescent="0.5">
      <c r="A96" t="s">
        <v>164</v>
      </c>
      <c r="B96">
        <v>55.48</v>
      </c>
      <c r="C96">
        <v>54.57</v>
      </c>
      <c r="D96">
        <v>55.5</v>
      </c>
      <c r="E96">
        <v>50.11</v>
      </c>
      <c r="F96" t="s">
        <v>674</v>
      </c>
      <c r="G96" s="1">
        <v>1.7500000000000002E-2</v>
      </c>
    </row>
    <row r="97" spans="1:7" x14ac:dyDescent="0.5">
      <c r="A97" t="s">
        <v>166</v>
      </c>
      <c r="B97">
        <v>54.53</v>
      </c>
      <c r="C97">
        <v>60.65</v>
      </c>
      <c r="D97">
        <v>61.23</v>
      </c>
      <c r="E97">
        <v>50.36</v>
      </c>
      <c r="F97" t="s">
        <v>675</v>
      </c>
      <c r="G97" s="1">
        <v>-9.6500000000000002E-2</v>
      </c>
    </row>
    <row r="98" spans="1:7" x14ac:dyDescent="0.5">
      <c r="A98" t="s">
        <v>168</v>
      </c>
      <c r="B98">
        <v>60.35</v>
      </c>
      <c r="C98">
        <v>61.13</v>
      </c>
      <c r="D98">
        <v>61.39</v>
      </c>
      <c r="E98">
        <v>57.58</v>
      </c>
      <c r="F98" t="s">
        <v>676</v>
      </c>
      <c r="G98" s="1">
        <v>-2.01E-2</v>
      </c>
    </row>
    <row r="99" spans="1:7" x14ac:dyDescent="0.5">
      <c r="A99" t="s">
        <v>170</v>
      </c>
      <c r="B99">
        <v>61.59</v>
      </c>
      <c r="C99">
        <v>61.96</v>
      </c>
      <c r="D99">
        <v>63.6</v>
      </c>
      <c r="E99">
        <v>60.2</v>
      </c>
      <c r="F99" t="s">
        <v>677</v>
      </c>
      <c r="G99" s="1">
        <v>3.7000000000000002E-3</v>
      </c>
    </row>
    <row r="100" spans="1:7" x14ac:dyDescent="0.5">
      <c r="A100" t="s">
        <v>172</v>
      </c>
      <c r="B100">
        <v>61.36</v>
      </c>
      <c r="C100">
        <v>55.77</v>
      </c>
      <c r="D100">
        <v>64.569999999999993</v>
      </c>
      <c r="E100">
        <v>55.33</v>
      </c>
      <c r="F100" t="s">
        <v>678</v>
      </c>
      <c r="G100" s="1">
        <v>8.6800000000000002E-2</v>
      </c>
    </row>
    <row r="101" spans="1:7" x14ac:dyDescent="0.5">
      <c r="A101" t="s">
        <v>174</v>
      </c>
      <c r="B101">
        <v>56.46</v>
      </c>
      <c r="C101">
        <v>55.64</v>
      </c>
      <c r="D101">
        <v>60.07</v>
      </c>
      <c r="E101">
        <v>55.3</v>
      </c>
      <c r="F101" t="s">
        <v>679</v>
      </c>
      <c r="G101" s="1">
        <v>2.6499999999999999E-2</v>
      </c>
    </row>
    <row r="102" spans="1:7" x14ac:dyDescent="0.5">
      <c r="A102" t="s">
        <v>176</v>
      </c>
      <c r="B102">
        <v>55</v>
      </c>
      <c r="C102">
        <v>50.81</v>
      </c>
      <c r="D102">
        <v>55.91</v>
      </c>
      <c r="E102">
        <v>50.39</v>
      </c>
      <c r="F102" t="s">
        <v>680</v>
      </c>
      <c r="G102" s="1">
        <v>7.9899999999999999E-2</v>
      </c>
    </row>
    <row r="103" spans="1:7" x14ac:dyDescent="0.5">
      <c r="A103" t="s">
        <v>178</v>
      </c>
      <c r="B103">
        <v>50.93</v>
      </c>
      <c r="C103">
        <v>51.38</v>
      </c>
      <c r="D103">
        <v>54.88</v>
      </c>
      <c r="E103">
        <v>49.71</v>
      </c>
      <c r="F103" t="s">
        <v>681</v>
      </c>
      <c r="G103" s="1">
        <v>-1.7899999999999999E-2</v>
      </c>
    </row>
    <row r="104" spans="1:7" x14ac:dyDescent="0.5">
      <c r="A104" t="s">
        <v>180</v>
      </c>
      <c r="B104">
        <v>51.86</v>
      </c>
      <c r="C104">
        <v>55.48</v>
      </c>
      <c r="D104">
        <v>58.91</v>
      </c>
      <c r="E104">
        <v>49.2</v>
      </c>
      <c r="F104" t="s">
        <v>682</v>
      </c>
      <c r="G104" s="1">
        <v>-6.0499999999999998E-2</v>
      </c>
    </row>
    <row r="105" spans="1:7" x14ac:dyDescent="0.5">
      <c r="A105" t="s">
        <v>182</v>
      </c>
      <c r="B105">
        <v>55.2</v>
      </c>
      <c r="C105">
        <v>58.8</v>
      </c>
      <c r="D105">
        <v>59.37</v>
      </c>
      <c r="E105">
        <v>49.85</v>
      </c>
      <c r="F105" t="s">
        <v>683</v>
      </c>
      <c r="G105" s="1">
        <v>-6.6199999999999995E-2</v>
      </c>
    </row>
    <row r="106" spans="1:7" x14ac:dyDescent="0.5">
      <c r="A106" t="s">
        <v>184</v>
      </c>
      <c r="B106">
        <v>59.11</v>
      </c>
      <c r="C106">
        <v>52.65</v>
      </c>
      <c r="D106">
        <v>59.9</v>
      </c>
      <c r="E106">
        <v>52.65</v>
      </c>
      <c r="F106" t="s">
        <v>684</v>
      </c>
      <c r="G106" s="1">
        <v>0.12230000000000001</v>
      </c>
    </row>
    <row r="107" spans="1:7" x14ac:dyDescent="0.5">
      <c r="A107" t="s">
        <v>186</v>
      </c>
      <c r="B107">
        <v>52.67</v>
      </c>
      <c r="C107">
        <v>51.52</v>
      </c>
      <c r="D107">
        <v>54.32</v>
      </c>
      <c r="E107">
        <v>50.12</v>
      </c>
      <c r="F107" t="s">
        <v>685</v>
      </c>
      <c r="G107" s="1">
        <v>1.66E-2</v>
      </c>
    </row>
    <row r="108" spans="1:7" x14ac:dyDescent="0.5">
      <c r="A108" t="s">
        <v>188</v>
      </c>
      <c r="B108">
        <v>51.81</v>
      </c>
      <c r="C108">
        <v>51.82</v>
      </c>
      <c r="D108">
        <v>54</v>
      </c>
      <c r="E108">
        <v>51.43</v>
      </c>
      <c r="F108" t="s">
        <v>686</v>
      </c>
      <c r="G108" s="1">
        <v>3.0000000000000001E-3</v>
      </c>
    </row>
    <row r="109" spans="1:7" x14ac:dyDescent="0.5">
      <c r="A109" t="s">
        <v>190</v>
      </c>
      <c r="B109">
        <v>51.65</v>
      </c>
      <c r="C109">
        <v>48.78</v>
      </c>
      <c r="D109">
        <v>53.18</v>
      </c>
      <c r="E109">
        <v>48.1</v>
      </c>
      <c r="F109" t="s">
        <v>687</v>
      </c>
      <c r="G109" s="1">
        <v>6.0900000000000003E-2</v>
      </c>
    </row>
    <row r="110" spans="1:7" x14ac:dyDescent="0.5">
      <c r="A110" t="s">
        <v>192</v>
      </c>
      <c r="B110">
        <v>48.69</v>
      </c>
      <c r="C110">
        <v>47.87</v>
      </c>
      <c r="D110">
        <v>48.79</v>
      </c>
      <c r="E110">
        <v>46.23</v>
      </c>
      <c r="F110" t="s">
        <v>688</v>
      </c>
      <c r="G110" s="1">
        <v>1.9300000000000001E-2</v>
      </c>
    </row>
    <row r="111" spans="1:7" x14ac:dyDescent="0.5">
      <c r="A111" t="s">
        <v>194</v>
      </c>
      <c r="B111">
        <v>47.76</v>
      </c>
      <c r="C111">
        <v>47.39</v>
      </c>
      <c r="D111">
        <v>47.86</v>
      </c>
      <c r="E111">
        <v>45.93</v>
      </c>
      <c r="F111" t="s">
        <v>689</v>
      </c>
      <c r="G111" s="1">
        <v>1.03E-2</v>
      </c>
    </row>
    <row r="112" spans="1:7" x14ac:dyDescent="0.5">
      <c r="A112" t="s">
        <v>196</v>
      </c>
      <c r="B112">
        <v>47.28</v>
      </c>
      <c r="C112">
        <v>46.66</v>
      </c>
      <c r="D112">
        <v>50.31</v>
      </c>
      <c r="E112">
        <v>45.77</v>
      </c>
      <c r="F112" t="s">
        <v>690</v>
      </c>
      <c r="G112" s="1">
        <v>1.7000000000000001E-2</v>
      </c>
    </row>
    <row r="113" spans="1:7" x14ac:dyDescent="0.5">
      <c r="A113" t="s">
        <v>198</v>
      </c>
      <c r="B113">
        <v>46.48</v>
      </c>
      <c r="C113">
        <v>49.55</v>
      </c>
      <c r="D113">
        <v>50.43</v>
      </c>
      <c r="E113">
        <v>46.48</v>
      </c>
      <c r="F113" t="s">
        <v>691</v>
      </c>
      <c r="G113" s="1">
        <v>-5.8200000000000002E-2</v>
      </c>
    </row>
    <row r="114" spans="1:7" x14ac:dyDescent="0.5">
      <c r="A114" t="s">
        <v>200</v>
      </c>
      <c r="B114">
        <v>49.35</v>
      </c>
      <c r="C114">
        <v>46.21</v>
      </c>
      <c r="D114">
        <v>49.98</v>
      </c>
      <c r="E114">
        <v>46.04</v>
      </c>
      <c r="F114" t="s">
        <v>692</v>
      </c>
      <c r="G114" s="1">
        <v>6.7699999999999996E-2</v>
      </c>
    </row>
    <row r="115" spans="1:7" x14ac:dyDescent="0.5">
      <c r="A115" t="s">
        <v>202</v>
      </c>
      <c r="B115">
        <v>46.23</v>
      </c>
      <c r="C115">
        <v>42.44</v>
      </c>
      <c r="D115">
        <v>46.79</v>
      </c>
      <c r="E115">
        <v>41.73</v>
      </c>
      <c r="F115" t="s">
        <v>693</v>
      </c>
      <c r="G115" s="1">
        <v>9.0499999999999997E-2</v>
      </c>
    </row>
    <row r="116" spans="1:7" x14ac:dyDescent="0.5">
      <c r="A116" t="s">
        <v>204</v>
      </c>
      <c r="B116">
        <v>42.39</v>
      </c>
      <c r="C116">
        <v>42.57</v>
      </c>
      <c r="D116">
        <v>43.72</v>
      </c>
      <c r="E116">
        <v>41.22</v>
      </c>
      <c r="F116" t="s">
        <v>694</v>
      </c>
      <c r="G116" s="1">
        <v>3.3999999999999998E-3</v>
      </c>
    </row>
    <row r="117" spans="1:7" x14ac:dyDescent="0.5">
      <c r="A117" t="s">
        <v>206</v>
      </c>
      <c r="B117">
        <v>42.25</v>
      </c>
      <c r="C117">
        <v>41.2</v>
      </c>
      <c r="D117">
        <v>42.69</v>
      </c>
      <c r="E117">
        <v>40.6</v>
      </c>
      <c r="F117" t="s">
        <v>695</v>
      </c>
      <c r="G117" s="1">
        <v>3.0200000000000001E-2</v>
      </c>
    </row>
    <row r="118" spans="1:7" x14ac:dyDescent="0.5">
      <c r="A118" t="s">
        <v>208</v>
      </c>
      <c r="B118">
        <v>41.01</v>
      </c>
      <c r="C118">
        <v>40.03</v>
      </c>
      <c r="D118">
        <v>43.35</v>
      </c>
      <c r="E118">
        <v>39.840000000000003</v>
      </c>
      <c r="F118" t="s">
        <v>696</v>
      </c>
      <c r="G118" s="1">
        <v>3.5000000000000003E-2</v>
      </c>
    </row>
    <row r="119" spans="1:7" x14ac:dyDescent="0.5">
      <c r="A119" t="s">
        <v>210</v>
      </c>
      <c r="B119">
        <v>39.619999999999997</v>
      </c>
      <c r="C119">
        <v>38.93</v>
      </c>
      <c r="D119">
        <v>41.22</v>
      </c>
      <c r="E119">
        <v>37.67</v>
      </c>
      <c r="F119" t="s">
        <v>697</v>
      </c>
      <c r="G119" s="1">
        <v>2.1399999999999999E-2</v>
      </c>
    </row>
    <row r="120" spans="1:7" x14ac:dyDescent="0.5">
      <c r="A120" t="s">
        <v>212</v>
      </c>
      <c r="B120">
        <v>38.79</v>
      </c>
      <c r="C120">
        <v>40.54</v>
      </c>
      <c r="D120">
        <v>40.799999999999997</v>
      </c>
      <c r="E120">
        <v>37.18</v>
      </c>
      <c r="F120" t="s">
        <v>698</v>
      </c>
      <c r="G120" s="1">
        <v>-4.2000000000000003E-2</v>
      </c>
    </row>
    <row r="121" spans="1:7" x14ac:dyDescent="0.5">
      <c r="A121" t="s">
        <v>214</v>
      </c>
      <c r="B121">
        <v>40.49</v>
      </c>
      <c r="C121">
        <v>40.130000000000003</v>
      </c>
      <c r="D121">
        <v>41.95</v>
      </c>
      <c r="E121">
        <v>39.81</v>
      </c>
      <c r="F121" t="s">
        <v>699</v>
      </c>
      <c r="G121" s="1">
        <v>7.3000000000000001E-3</v>
      </c>
    </row>
    <row r="122" spans="1:7" x14ac:dyDescent="0.5">
      <c r="A122" t="s">
        <v>216</v>
      </c>
      <c r="B122">
        <v>40.200000000000003</v>
      </c>
      <c r="C122">
        <v>39.6</v>
      </c>
      <c r="D122">
        <v>40.950000000000003</v>
      </c>
      <c r="E122">
        <v>39.17</v>
      </c>
      <c r="F122" t="s">
        <v>700</v>
      </c>
      <c r="G122" s="1">
        <v>1.7999999999999999E-2</v>
      </c>
    </row>
    <row r="123" spans="1:7" x14ac:dyDescent="0.5">
      <c r="A123" t="s">
        <v>218</v>
      </c>
      <c r="B123">
        <v>39.49</v>
      </c>
      <c r="C123">
        <v>39.33</v>
      </c>
      <c r="D123">
        <v>40.69</v>
      </c>
      <c r="E123">
        <v>39.25</v>
      </c>
      <c r="F123" t="s">
        <v>701</v>
      </c>
      <c r="G123" s="1">
        <v>-1.9E-3</v>
      </c>
    </row>
    <row r="124" spans="1:7" x14ac:dyDescent="0.5">
      <c r="A124" t="s">
        <v>220</v>
      </c>
      <c r="B124">
        <v>39.57</v>
      </c>
      <c r="C124">
        <v>35.26</v>
      </c>
      <c r="D124">
        <v>40.200000000000003</v>
      </c>
      <c r="E124">
        <v>34.950000000000003</v>
      </c>
      <c r="F124" t="s">
        <v>702</v>
      </c>
      <c r="G124" s="1">
        <v>0.12479999999999999</v>
      </c>
    </row>
    <row r="125" spans="1:7" x14ac:dyDescent="0.5">
      <c r="A125" t="s">
        <v>222</v>
      </c>
      <c r="B125">
        <v>35.18</v>
      </c>
      <c r="C125">
        <v>37.42</v>
      </c>
      <c r="D125">
        <v>37.57</v>
      </c>
      <c r="E125">
        <v>33.630000000000003</v>
      </c>
      <c r="F125" t="s">
        <v>703</v>
      </c>
      <c r="G125" s="1">
        <v>-6.0499999999999998E-2</v>
      </c>
    </row>
    <row r="126" spans="1:7" x14ac:dyDescent="0.5">
      <c r="A126" t="s">
        <v>224</v>
      </c>
      <c r="B126">
        <v>37.44</v>
      </c>
      <c r="C126">
        <v>35.6</v>
      </c>
      <c r="D126">
        <v>37.67</v>
      </c>
      <c r="E126">
        <v>35.200000000000003</v>
      </c>
      <c r="F126" t="s">
        <v>704</v>
      </c>
      <c r="G126" s="1">
        <v>5.79E-2</v>
      </c>
    </row>
    <row r="127" spans="1:7" x14ac:dyDescent="0.5">
      <c r="A127" t="s">
        <v>226</v>
      </c>
      <c r="B127">
        <v>35.39</v>
      </c>
      <c r="C127">
        <v>37.86</v>
      </c>
      <c r="D127">
        <v>39.549999999999997</v>
      </c>
      <c r="E127">
        <v>35.159999999999997</v>
      </c>
      <c r="F127" t="s">
        <v>705</v>
      </c>
      <c r="G127" s="1">
        <v>-7.2099999999999997E-2</v>
      </c>
    </row>
    <row r="128" spans="1:7" x14ac:dyDescent="0.5">
      <c r="A128" t="s">
        <v>228</v>
      </c>
      <c r="B128">
        <v>38.15</v>
      </c>
      <c r="C128">
        <v>36.06</v>
      </c>
      <c r="D128">
        <v>38.869999999999997</v>
      </c>
      <c r="E128">
        <v>35.200000000000003</v>
      </c>
      <c r="F128" t="s">
        <v>706</v>
      </c>
      <c r="G128" s="1">
        <v>6.3700000000000007E-2</v>
      </c>
    </row>
    <row r="129" spans="1:7" x14ac:dyDescent="0.5">
      <c r="A129" t="s">
        <v>230</v>
      </c>
      <c r="B129">
        <v>35.86</v>
      </c>
      <c r="C129">
        <v>38.56</v>
      </c>
      <c r="D129">
        <v>40.520000000000003</v>
      </c>
      <c r="E129">
        <v>34.1</v>
      </c>
      <c r="F129" t="s">
        <v>707</v>
      </c>
      <c r="G129" s="1">
        <v>-5.8000000000000003E-2</v>
      </c>
    </row>
    <row r="130" spans="1:7" x14ac:dyDescent="0.5">
      <c r="A130" t="s">
        <v>232</v>
      </c>
      <c r="B130">
        <v>38.07</v>
      </c>
      <c r="C130">
        <v>38.11</v>
      </c>
      <c r="D130">
        <v>38.46</v>
      </c>
      <c r="E130">
        <v>34.39</v>
      </c>
      <c r="F130" t="s">
        <v>682</v>
      </c>
      <c r="G130" s="1">
        <v>-2.1399999999999999E-2</v>
      </c>
    </row>
    <row r="131" spans="1:7" x14ac:dyDescent="0.5">
      <c r="A131" t="s">
        <v>234</v>
      </c>
      <c r="B131">
        <v>38.9</v>
      </c>
      <c r="C131">
        <v>38.35</v>
      </c>
      <c r="D131">
        <v>39.93</v>
      </c>
      <c r="E131">
        <v>36.81</v>
      </c>
      <c r="F131" t="s">
        <v>708</v>
      </c>
      <c r="G131" s="1">
        <v>1.9900000000000001E-2</v>
      </c>
    </row>
    <row r="132" spans="1:7" x14ac:dyDescent="0.5">
      <c r="A132" t="s">
        <v>236</v>
      </c>
      <c r="B132">
        <v>38.14</v>
      </c>
      <c r="C132">
        <v>36.89</v>
      </c>
      <c r="D132">
        <v>39.15</v>
      </c>
      <c r="E132">
        <v>36.57</v>
      </c>
      <c r="F132" t="s">
        <v>709</v>
      </c>
      <c r="G132" s="1">
        <v>3.4500000000000003E-2</v>
      </c>
    </row>
    <row r="133" spans="1:7" x14ac:dyDescent="0.5">
      <c r="A133" t="s">
        <v>238</v>
      </c>
      <c r="B133">
        <v>36.869999999999997</v>
      </c>
      <c r="C133">
        <v>31.9</v>
      </c>
      <c r="D133">
        <v>37.630000000000003</v>
      </c>
      <c r="E133">
        <v>31.56</v>
      </c>
      <c r="F133" t="s">
        <v>596</v>
      </c>
      <c r="G133" s="1">
        <v>0.15509999999999999</v>
      </c>
    </row>
    <row r="134" spans="1:7" x14ac:dyDescent="0.5">
      <c r="A134" t="s">
        <v>240</v>
      </c>
      <c r="B134">
        <v>31.92</v>
      </c>
      <c r="C134">
        <v>31.69</v>
      </c>
      <c r="D134">
        <v>34.1</v>
      </c>
      <c r="E134">
        <v>30.89</v>
      </c>
      <c r="F134" t="s">
        <v>710</v>
      </c>
      <c r="G134" s="1">
        <v>-1.46E-2</v>
      </c>
    </row>
    <row r="135" spans="1:7" x14ac:dyDescent="0.5">
      <c r="A135" t="s">
        <v>242</v>
      </c>
      <c r="B135">
        <v>32.39</v>
      </c>
      <c r="C135">
        <v>32.880000000000003</v>
      </c>
      <c r="D135">
        <v>35.200000000000003</v>
      </c>
      <c r="E135">
        <v>29.65</v>
      </c>
      <c r="F135" t="s">
        <v>587</v>
      </c>
      <c r="G135" s="1">
        <v>-1.47E-2</v>
      </c>
    </row>
    <row r="136" spans="1:7" x14ac:dyDescent="0.5">
      <c r="A136" t="s">
        <v>244</v>
      </c>
      <c r="B136">
        <v>32.880000000000003</v>
      </c>
      <c r="C136">
        <v>27.18</v>
      </c>
      <c r="D136">
        <v>35.67</v>
      </c>
      <c r="E136">
        <v>26.99</v>
      </c>
      <c r="F136" t="s">
        <v>711</v>
      </c>
      <c r="G136" s="1">
        <v>0.2175</v>
      </c>
    </row>
    <row r="137" spans="1:7" x14ac:dyDescent="0.5">
      <c r="A137" t="s">
        <v>246</v>
      </c>
      <c r="B137">
        <v>27</v>
      </c>
      <c r="C137">
        <v>27.44</v>
      </c>
      <c r="D137">
        <v>28.28</v>
      </c>
      <c r="E137">
        <v>26.94</v>
      </c>
      <c r="F137" t="s">
        <v>712</v>
      </c>
      <c r="G137" s="1">
        <v>-9.7000000000000003E-3</v>
      </c>
    </row>
    <row r="138" spans="1:7" x14ac:dyDescent="0.5">
      <c r="A138" t="s">
        <v>248</v>
      </c>
      <c r="B138">
        <v>27.27</v>
      </c>
      <c r="C138">
        <v>27.53</v>
      </c>
      <c r="D138">
        <v>27.91</v>
      </c>
      <c r="E138">
        <v>26.61</v>
      </c>
      <c r="F138" t="s">
        <v>713</v>
      </c>
      <c r="G138" s="1">
        <v>-6.3E-3</v>
      </c>
    </row>
    <row r="139" spans="1:7" x14ac:dyDescent="0.5">
      <c r="A139" t="s">
        <v>250</v>
      </c>
      <c r="B139">
        <v>27.44</v>
      </c>
      <c r="C139">
        <v>27.74</v>
      </c>
      <c r="D139">
        <v>29.24</v>
      </c>
      <c r="E139">
        <v>26.45</v>
      </c>
      <c r="F139" t="s">
        <v>714</v>
      </c>
      <c r="G139" s="1">
        <v>-1.0699999999999999E-2</v>
      </c>
    </row>
    <row r="140" spans="1:7" x14ac:dyDescent="0.5">
      <c r="A140" t="s">
        <v>252</v>
      </c>
      <c r="B140">
        <v>27.74</v>
      </c>
      <c r="C140">
        <v>28.35</v>
      </c>
      <c r="D140">
        <v>29.16</v>
      </c>
      <c r="E140">
        <v>27.52</v>
      </c>
      <c r="F140" t="s">
        <v>715</v>
      </c>
      <c r="G140" s="1">
        <v>-1.41E-2</v>
      </c>
    </row>
    <row r="141" spans="1:7" x14ac:dyDescent="0.5">
      <c r="A141" t="s">
        <v>254</v>
      </c>
      <c r="B141">
        <v>28.13</v>
      </c>
      <c r="C141">
        <v>26.72</v>
      </c>
      <c r="D141">
        <v>28.47</v>
      </c>
      <c r="E141">
        <v>26.09</v>
      </c>
      <c r="F141" t="s">
        <v>716</v>
      </c>
      <c r="G141" s="1">
        <v>4.6699999999999998E-2</v>
      </c>
    </row>
    <row r="142" spans="1:7" x14ac:dyDescent="0.5">
      <c r="A142" t="s">
        <v>256</v>
      </c>
      <c r="B142">
        <v>26.88</v>
      </c>
      <c r="C142">
        <v>26.63</v>
      </c>
      <c r="D142">
        <v>27.27</v>
      </c>
      <c r="E142">
        <v>24.55</v>
      </c>
      <c r="F142" t="s">
        <v>331</v>
      </c>
      <c r="G142" s="1">
        <v>1.2999999999999999E-2</v>
      </c>
    </row>
    <row r="143" spans="1:7" x14ac:dyDescent="0.5">
      <c r="A143" t="s">
        <v>258</v>
      </c>
      <c r="B143">
        <v>26.53</v>
      </c>
      <c r="C143">
        <v>27.25</v>
      </c>
      <c r="D143">
        <v>27.44</v>
      </c>
      <c r="E143">
        <v>24.86</v>
      </c>
      <c r="F143" t="s">
        <v>717</v>
      </c>
      <c r="G143" s="1">
        <v>-3.3500000000000002E-2</v>
      </c>
    </row>
    <row r="144" spans="1:7" x14ac:dyDescent="0.5">
      <c r="A144" t="s">
        <v>260</v>
      </c>
      <c r="B144">
        <v>27.45</v>
      </c>
      <c r="C144">
        <v>28.18</v>
      </c>
      <c r="D144">
        <v>28.36</v>
      </c>
      <c r="E144">
        <v>26.96</v>
      </c>
      <c r="F144" t="s">
        <v>718</v>
      </c>
      <c r="G144" s="1">
        <v>-3.3099999999999997E-2</v>
      </c>
    </row>
    <row r="145" spans="1:7" x14ac:dyDescent="0.5">
      <c r="A145" t="s">
        <v>262</v>
      </c>
      <c r="B145">
        <v>28.39</v>
      </c>
      <c r="C145">
        <v>29.34</v>
      </c>
      <c r="D145">
        <v>29.62</v>
      </c>
      <c r="E145">
        <v>25.92</v>
      </c>
      <c r="F145" t="s">
        <v>587</v>
      </c>
      <c r="G145" s="1">
        <v>-3.49E-2</v>
      </c>
    </row>
    <row r="146" spans="1:7" x14ac:dyDescent="0.5">
      <c r="A146" t="s">
        <v>264</v>
      </c>
      <c r="B146">
        <v>29.42</v>
      </c>
      <c r="C146">
        <v>29.15</v>
      </c>
      <c r="D146">
        <v>30.27</v>
      </c>
      <c r="E146">
        <v>28.85</v>
      </c>
      <c r="F146" t="s">
        <v>719</v>
      </c>
      <c r="G146" s="1">
        <v>1.04E-2</v>
      </c>
    </row>
    <row r="147" spans="1:7" x14ac:dyDescent="0.5">
      <c r="A147" t="s">
        <v>266</v>
      </c>
      <c r="B147">
        <v>29.12</v>
      </c>
      <c r="C147">
        <v>28.93</v>
      </c>
      <c r="D147">
        <v>29.89</v>
      </c>
      <c r="E147">
        <v>28.37</v>
      </c>
      <c r="F147" t="s">
        <v>720</v>
      </c>
      <c r="G147" s="1">
        <v>4.7999999999999996E-3</v>
      </c>
    </row>
    <row r="148" spans="1:7" x14ac:dyDescent="0.5">
      <c r="A148" t="s">
        <v>268</v>
      </c>
      <c r="B148">
        <v>28.98</v>
      </c>
      <c r="C148">
        <v>29.38</v>
      </c>
      <c r="D148">
        <v>30.45</v>
      </c>
      <c r="E148">
        <v>28.61</v>
      </c>
      <c r="F148" t="s">
        <v>721</v>
      </c>
      <c r="G148" s="1">
        <v>-8.8000000000000005E-3</v>
      </c>
    </row>
    <row r="149" spans="1:7" x14ac:dyDescent="0.5">
      <c r="A149" t="s">
        <v>270</v>
      </c>
      <c r="B149">
        <v>29.23</v>
      </c>
      <c r="C149">
        <v>28.49</v>
      </c>
      <c r="D149">
        <v>29.48</v>
      </c>
      <c r="E149">
        <v>27.37</v>
      </c>
      <c r="F149" t="s">
        <v>722</v>
      </c>
      <c r="G149" s="1">
        <v>2.2800000000000001E-2</v>
      </c>
    </row>
    <row r="150" spans="1:7" x14ac:dyDescent="0.5">
      <c r="A150" t="s">
        <v>272</v>
      </c>
      <c r="B150">
        <v>28.58</v>
      </c>
      <c r="C150">
        <v>26.71</v>
      </c>
      <c r="D150">
        <v>28.88</v>
      </c>
      <c r="E150">
        <v>25.55</v>
      </c>
      <c r="F150" t="s">
        <v>723</v>
      </c>
      <c r="G150" s="1">
        <v>6.8699999999999997E-2</v>
      </c>
    </row>
    <row r="151" spans="1:7" x14ac:dyDescent="0.5">
      <c r="A151" t="s">
        <v>274</v>
      </c>
      <c r="B151">
        <v>26.74</v>
      </c>
      <c r="C151">
        <v>28.03</v>
      </c>
      <c r="D151">
        <v>29.42</v>
      </c>
      <c r="E151">
        <v>25.55</v>
      </c>
      <c r="F151" t="s">
        <v>329</v>
      </c>
      <c r="G151" s="1">
        <v>-4.1099999999999998E-2</v>
      </c>
    </row>
    <row r="152" spans="1:7" x14ac:dyDescent="0.5">
      <c r="A152" t="s">
        <v>276</v>
      </c>
      <c r="B152">
        <v>27.89</v>
      </c>
      <c r="C152">
        <v>30.2</v>
      </c>
      <c r="D152">
        <v>30.7</v>
      </c>
      <c r="E152">
        <v>27.58</v>
      </c>
      <c r="F152" t="s">
        <v>724</v>
      </c>
      <c r="G152" s="1">
        <v>-8.3199999999999996E-2</v>
      </c>
    </row>
    <row r="153" spans="1:7" x14ac:dyDescent="0.5">
      <c r="A153" t="s">
        <v>278</v>
      </c>
      <c r="B153">
        <v>30.42</v>
      </c>
      <c r="C153">
        <v>29.51</v>
      </c>
      <c r="D153">
        <v>30.75</v>
      </c>
      <c r="E153">
        <v>28.23</v>
      </c>
      <c r="F153" t="s">
        <v>725</v>
      </c>
      <c r="G153" s="1">
        <v>2.9399999999999999E-2</v>
      </c>
    </row>
    <row r="154" spans="1:7" x14ac:dyDescent="0.5">
      <c r="A154" t="s">
        <v>280</v>
      </c>
      <c r="B154">
        <v>29.55</v>
      </c>
      <c r="C154">
        <v>27.91</v>
      </c>
      <c r="D154">
        <v>29.69</v>
      </c>
      <c r="E154">
        <v>27.08</v>
      </c>
      <c r="F154" t="s">
        <v>717</v>
      </c>
      <c r="G154" s="1">
        <v>5.3800000000000001E-2</v>
      </c>
    </row>
    <row r="155" spans="1:7" x14ac:dyDescent="0.5">
      <c r="A155" t="s">
        <v>282</v>
      </c>
      <c r="B155">
        <v>28.04</v>
      </c>
      <c r="C155">
        <v>26.61</v>
      </c>
      <c r="D155">
        <v>28.05</v>
      </c>
      <c r="E155">
        <v>26.25</v>
      </c>
      <c r="F155" t="s">
        <v>726</v>
      </c>
      <c r="G155" s="1">
        <v>5.7700000000000001E-2</v>
      </c>
    </row>
    <row r="156" spans="1:7" x14ac:dyDescent="0.5">
      <c r="A156" t="s">
        <v>284</v>
      </c>
      <c r="B156">
        <v>26.52</v>
      </c>
      <c r="C156">
        <v>25.82</v>
      </c>
      <c r="D156">
        <v>26.73</v>
      </c>
      <c r="E156">
        <v>25.15</v>
      </c>
      <c r="F156" t="s">
        <v>727</v>
      </c>
      <c r="G156" s="1">
        <v>2.81E-2</v>
      </c>
    </row>
    <row r="157" spans="1:7" x14ac:dyDescent="0.5">
      <c r="A157" t="s">
        <v>286</v>
      </c>
      <c r="B157">
        <v>25.79</v>
      </c>
      <c r="C157">
        <v>22.03</v>
      </c>
      <c r="D157">
        <v>26.06</v>
      </c>
      <c r="E157">
        <v>21.09</v>
      </c>
      <c r="F157" t="s">
        <v>587</v>
      </c>
      <c r="G157" s="1">
        <v>0.17660000000000001</v>
      </c>
    </row>
    <row r="158" spans="1:7" x14ac:dyDescent="0.5">
      <c r="A158" t="s">
        <v>288</v>
      </c>
      <c r="B158">
        <v>21.92</v>
      </c>
      <c r="C158">
        <v>21.38</v>
      </c>
      <c r="D158">
        <v>22.67</v>
      </c>
      <c r="E158">
        <v>21.37</v>
      </c>
      <c r="F158" t="s">
        <v>728</v>
      </c>
      <c r="G158" s="1">
        <v>3.4299999999999997E-2</v>
      </c>
    </row>
    <row r="159" spans="1:7" x14ac:dyDescent="0.5">
      <c r="A159" t="s">
        <v>290</v>
      </c>
      <c r="B159">
        <v>21.19</v>
      </c>
      <c r="C159">
        <v>22.4</v>
      </c>
      <c r="D159">
        <v>22.76</v>
      </c>
      <c r="E159">
        <v>21.16</v>
      </c>
      <c r="F159" t="s">
        <v>729</v>
      </c>
      <c r="G159" s="1">
        <v>-4.5999999999999999E-2</v>
      </c>
    </row>
    <row r="160" spans="1:7" x14ac:dyDescent="0.5">
      <c r="A160" t="s">
        <v>292</v>
      </c>
      <c r="B160">
        <v>22.22</v>
      </c>
      <c r="C160">
        <v>22.18</v>
      </c>
      <c r="D160">
        <v>23.22</v>
      </c>
      <c r="E160">
        <v>21.91</v>
      </c>
      <c r="F160" t="s">
        <v>683</v>
      </c>
      <c r="G160" s="1">
        <v>8.3999999999999995E-3</v>
      </c>
    </row>
    <row r="161" spans="1:7" x14ac:dyDescent="0.5">
      <c r="A161" t="s">
        <v>293</v>
      </c>
      <c r="B161">
        <v>22.03</v>
      </c>
      <c r="C161">
        <v>21.85</v>
      </c>
      <c r="D161">
        <v>22.79</v>
      </c>
      <c r="E161">
        <v>21.2</v>
      </c>
      <c r="F161" t="s">
        <v>730</v>
      </c>
      <c r="G161" s="1">
        <v>1.0500000000000001E-2</v>
      </c>
    </row>
    <row r="162" spans="1:7" x14ac:dyDescent="0.5">
      <c r="A162" t="s">
        <v>295</v>
      </c>
      <c r="B162">
        <v>21.8</v>
      </c>
      <c r="C162">
        <v>20.6</v>
      </c>
      <c r="D162">
        <v>23.04</v>
      </c>
      <c r="E162">
        <v>20.43</v>
      </c>
      <c r="F162" t="s">
        <v>731</v>
      </c>
      <c r="G162" s="1">
        <v>5.6599999999999998E-2</v>
      </c>
    </row>
    <row r="163" spans="1:7" x14ac:dyDescent="0.5">
      <c r="A163" t="s">
        <v>297</v>
      </c>
      <c r="B163">
        <v>20.63</v>
      </c>
      <c r="C163">
        <v>19.89</v>
      </c>
      <c r="D163">
        <v>20.71</v>
      </c>
      <c r="E163">
        <v>19.05</v>
      </c>
      <c r="F163" t="s">
        <v>56</v>
      </c>
      <c r="G163" s="1">
        <v>3.8300000000000001E-2</v>
      </c>
    </row>
    <row r="164" spans="1:7" x14ac:dyDescent="0.5">
      <c r="A164" t="s">
        <v>299</v>
      </c>
      <c r="B164">
        <v>19.87</v>
      </c>
      <c r="C164">
        <v>19.96</v>
      </c>
      <c r="D164">
        <v>21.12</v>
      </c>
      <c r="E164">
        <v>19.850000000000001</v>
      </c>
      <c r="F164" t="s">
        <v>732</v>
      </c>
      <c r="G164" s="1">
        <v>-8.8000000000000005E-3</v>
      </c>
    </row>
    <row r="165" spans="1:7" x14ac:dyDescent="0.5">
      <c r="A165" t="s">
        <v>301</v>
      </c>
      <c r="B165">
        <v>20.05</v>
      </c>
      <c r="C165">
        <v>18.97</v>
      </c>
      <c r="D165">
        <v>20.239999999999998</v>
      </c>
      <c r="E165">
        <v>18.97</v>
      </c>
      <c r="F165" t="s">
        <v>733</v>
      </c>
      <c r="G165" s="1">
        <v>6.0199999999999997E-2</v>
      </c>
    </row>
    <row r="166" spans="1:7" x14ac:dyDescent="0.5">
      <c r="A166" t="s">
        <v>303</v>
      </c>
      <c r="B166">
        <v>18.91</v>
      </c>
      <c r="C166">
        <v>18</v>
      </c>
      <c r="D166">
        <v>19.04</v>
      </c>
      <c r="E166">
        <v>17.399999999999999</v>
      </c>
      <c r="F166" t="s">
        <v>586</v>
      </c>
      <c r="G166" s="1">
        <v>6.83E-2</v>
      </c>
    </row>
    <row r="167" spans="1:7" x14ac:dyDescent="0.5">
      <c r="A167" t="s">
        <v>305</v>
      </c>
      <c r="B167">
        <v>17.7</v>
      </c>
      <c r="C167">
        <v>17.57</v>
      </c>
      <c r="D167">
        <v>18.47</v>
      </c>
      <c r="E167">
        <v>17.07</v>
      </c>
      <c r="F167" t="s">
        <v>734</v>
      </c>
      <c r="G167" s="1">
        <v>1.29E-2</v>
      </c>
    </row>
    <row r="168" spans="1:7" x14ac:dyDescent="0.5">
      <c r="A168" t="s">
        <v>307</v>
      </c>
      <c r="B168">
        <v>17.48</v>
      </c>
      <c r="C168">
        <v>17</v>
      </c>
      <c r="D168">
        <v>17.5</v>
      </c>
      <c r="E168">
        <v>15.92</v>
      </c>
      <c r="F168" t="s">
        <v>735</v>
      </c>
      <c r="G168" s="1">
        <v>2.6599999999999999E-2</v>
      </c>
    </row>
    <row r="169" spans="1:7" x14ac:dyDescent="0.5">
      <c r="A169" t="s">
        <v>309</v>
      </c>
      <c r="B169">
        <v>17.02</v>
      </c>
      <c r="C169">
        <v>18.989999999999998</v>
      </c>
      <c r="D169">
        <v>19.38</v>
      </c>
      <c r="E169">
        <v>16.760000000000002</v>
      </c>
      <c r="F169" t="s">
        <v>22</v>
      </c>
      <c r="G169" s="1">
        <v>-9.8299999999999998E-2</v>
      </c>
    </row>
    <row r="170" spans="1:7" x14ac:dyDescent="0.5">
      <c r="A170" t="s">
        <v>311</v>
      </c>
      <c r="B170">
        <v>18.88</v>
      </c>
      <c r="C170">
        <v>17.13</v>
      </c>
      <c r="D170">
        <v>19.14</v>
      </c>
      <c r="E170">
        <v>16.850000000000001</v>
      </c>
      <c r="F170" t="s">
        <v>320</v>
      </c>
      <c r="G170" s="1">
        <v>0.1013</v>
      </c>
    </row>
    <row r="171" spans="1:7" x14ac:dyDescent="0.5">
      <c r="A171" t="s">
        <v>313</v>
      </c>
      <c r="B171">
        <v>17.14</v>
      </c>
      <c r="C171">
        <v>15.95</v>
      </c>
      <c r="D171">
        <v>17.239999999999998</v>
      </c>
      <c r="E171">
        <v>15.6</v>
      </c>
      <c r="F171" t="s">
        <v>736</v>
      </c>
      <c r="G171" s="1">
        <v>8.2299999999999998E-2</v>
      </c>
    </row>
    <row r="172" spans="1:7" x14ac:dyDescent="0.5">
      <c r="A172" t="s">
        <v>315</v>
      </c>
      <c r="B172">
        <v>15.84</v>
      </c>
      <c r="C172">
        <v>14.56</v>
      </c>
      <c r="D172">
        <v>16.079999999999998</v>
      </c>
      <c r="E172">
        <v>14.07</v>
      </c>
      <c r="F172" t="s">
        <v>683</v>
      </c>
      <c r="G172" s="1">
        <v>9.1200000000000003E-2</v>
      </c>
    </row>
    <row r="173" spans="1:7" x14ac:dyDescent="0.5">
      <c r="A173" t="s">
        <v>317</v>
      </c>
      <c r="B173">
        <v>14.52</v>
      </c>
      <c r="C173">
        <v>14.31</v>
      </c>
      <c r="D173">
        <v>14.71</v>
      </c>
      <c r="E173">
        <v>13.93</v>
      </c>
      <c r="F173" t="s">
        <v>737</v>
      </c>
      <c r="G173" s="1">
        <v>-1.6999999999999999E-3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7BD5-888F-9D46-9305-C6FD1770128F}">
  <dimension ref="A1:G173"/>
  <sheetViews>
    <sheetView workbookViewId="0">
      <selection activeCell="B7" sqref="B7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253.71</v>
      </c>
      <c r="C2">
        <v>254.83</v>
      </c>
      <c r="D2">
        <v>261.12</v>
      </c>
      <c r="E2">
        <v>244.3</v>
      </c>
      <c r="F2" t="s">
        <v>1523</v>
      </c>
      <c r="G2" s="1">
        <v>-2.3300000000000001E-2</v>
      </c>
    </row>
    <row r="3" spans="1:7" x14ac:dyDescent="0.5">
      <c r="A3" s="3">
        <v>46235</v>
      </c>
      <c r="B3">
        <v>259.77</v>
      </c>
      <c r="C3">
        <v>278.29000000000002</v>
      </c>
      <c r="D3">
        <v>287.2</v>
      </c>
      <c r="E3">
        <v>255.02</v>
      </c>
      <c r="F3" t="s">
        <v>1524</v>
      </c>
      <c r="G3" s="1">
        <v>-4.3499999999999997E-2</v>
      </c>
    </row>
    <row r="4" spans="1:7" x14ac:dyDescent="0.5">
      <c r="A4" s="3">
        <v>46204</v>
      </c>
      <c r="B4">
        <v>271.58</v>
      </c>
      <c r="C4">
        <v>239.75</v>
      </c>
      <c r="D4">
        <v>273.23</v>
      </c>
      <c r="E4">
        <v>226.16</v>
      </c>
      <c r="F4" t="s">
        <v>596</v>
      </c>
      <c r="G4" s="1">
        <v>0.13950000000000001</v>
      </c>
    </row>
    <row r="5" spans="1:7" x14ac:dyDescent="0.5">
      <c r="A5" s="3">
        <v>46174</v>
      </c>
      <c r="B5">
        <v>238.34</v>
      </c>
      <c r="C5">
        <v>266.29000000000002</v>
      </c>
      <c r="D5">
        <v>266.63</v>
      </c>
      <c r="E5">
        <v>225.55</v>
      </c>
      <c r="F5" t="s">
        <v>339</v>
      </c>
      <c r="G5" s="1">
        <v>-0.1193</v>
      </c>
    </row>
    <row r="6" spans="1:7" x14ac:dyDescent="0.5">
      <c r="A6" s="3">
        <v>46143</v>
      </c>
      <c r="B6">
        <v>270.64</v>
      </c>
      <c r="C6">
        <v>265.58</v>
      </c>
      <c r="D6">
        <v>278.56</v>
      </c>
      <c r="E6">
        <v>255.19</v>
      </c>
      <c r="F6" t="s">
        <v>1525</v>
      </c>
      <c r="G6" s="1">
        <v>2.1100000000000001E-2</v>
      </c>
    </row>
    <row r="7" spans="1:7" x14ac:dyDescent="0.5">
      <c r="A7" s="3">
        <v>46113</v>
      </c>
      <c r="B7">
        <v>265.06</v>
      </c>
      <c r="C7">
        <v>210.43</v>
      </c>
      <c r="D7">
        <v>273.88</v>
      </c>
      <c r="E7">
        <v>204.9</v>
      </c>
      <c r="F7" t="s">
        <v>683</v>
      </c>
      <c r="G7" s="1">
        <v>0.2727</v>
      </c>
    </row>
    <row r="8" spans="1:7" x14ac:dyDescent="0.5">
      <c r="A8" s="3">
        <v>46082</v>
      </c>
      <c r="B8">
        <v>208.27</v>
      </c>
      <c r="C8">
        <v>204.55</v>
      </c>
      <c r="D8">
        <v>220.47</v>
      </c>
      <c r="E8">
        <v>199.14</v>
      </c>
      <c r="F8" t="s">
        <v>596</v>
      </c>
      <c r="G8" s="1">
        <v>-8.2000000000000007E-3</v>
      </c>
    </row>
    <row r="9" spans="1:7" x14ac:dyDescent="0.5">
      <c r="A9" s="3">
        <v>46054</v>
      </c>
      <c r="B9">
        <v>210</v>
      </c>
      <c r="C9">
        <v>238.31</v>
      </c>
      <c r="D9">
        <v>246.35</v>
      </c>
      <c r="E9">
        <v>196</v>
      </c>
      <c r="F9" t="s">
        <v>36</v>
      </c>
      <c r="G9" s="1">
        <v>-0.12239999999999999</v>
      </c>
    </row>
    <row r="10" spans="1:7" x14ac:dyDescent="0.5">
      <c r="A10" s="3">
        <v>46023</v>
      </c>
      <c r="B10">
        <v>239.3</v>
      </c>
      <c r="C10">
        <v>231.34</v>
      </c>
      <c r="D10">
        <v>248.94</v>
      </c>
      <c r="E10">
        <v>224.7</v>
      </c>
      <c r="F10" t="s">
        <v>1526</v>
      </c>
      <c r="G10" s="1">
        <v>3.6700000000000003E-2</v>
      </c>
    </row>
    <row r="11" spans="1:7" x14ac:dyDescent="0.5">
      <c r="A11" s="3">
        <v>45992</v>
      </c>
      <c r="B11">
        <v>230.82</v>
      </c>
      <c r="C11">
        <v>233.22</v>
      </c>
      <c r="D11">
        <v>238.97</v>
      </c>
      <c r="E11">
        <v>220.99</v>
      </c>
      <c r="F11" t="s">
        <v>1527</v>
      </c>
      <c r="G11" s="1">
        <v>-1.03E-2</v>
      </c>
    </row>
    <row r="12" spans="1:7" x14ac:dyDescent="0.5">
      <c r="A12" s="3">
        <v>45962</v>
      </c>
      <c r="B12">
        <v>233.22</v>
      </c>
      <c r="C12">
        <v>255.36</v>
      </c>
      <c r="D12">
        <v>258.60000000000002</v>
      </c>
      <c r="E12">
        <v>215.18</v>
      </c>
      <c r="F12" t="s">
        <v>1528</v>
      </c>
      <c r="G12" s="1">
        <v>-4.4999999999999998E-2</v>
      </c>
    </row>
    <row r="13" spans="1:7" x14ac:dyDescent="0.5">
      <c r="A13" s="3">
        <v>45931</v>
      </c>
      <c r="B13">
        <v>244.22</v>
      </c>
      <c r="C13">
        <v>217.36</v>
      </c>
      <c r="D13">
        <v>250.5</v>
      </c>
      <c r="E13">
        <v>211.03</v>
      </c>
      <c r="F13" t="s">
        <v>320</v>
      </c>
      <c r="G13" s="1">
        <v>0.1123</v>
      </c>
    </row>
    <row r="14" spans="1:7" x14ac:dyDescent="0.5">
      <c r="A14" s="3">
        <v>45901</v>
      </c>
      <c r="B14">
        <v>219.57</v>
      </c>
      <c r="C14">
        <v>223.52</v>
      </c>
      <c r="D14">
        <v>238.85</v>
      </c>
      <c r="E14">
        <v>216.47</v>
      </c>
      <c r="F14" t="s">
        <v>1471</v>
      </c>
      <c r="G14" s="1">
        <v>-4.1200000000000001E-2</v>
      </c>
    </row>
    <row r="15" spans="1:7" x14ac:dyDescent="0.5">
      <c r="A15" s="3">
        <v>45870</v>
      </c>
      <c r="B15">
        <v>229</v>
      </c>
      <c r="C15">
        <v>217.21</v>
      </c>
      <c r="D15">
        <v>234.08</v>
      </c>
      <c r="E15">
        <v>211.42</v>
      </c>
      <c r="F15" t="s">
        <v>1472</v>
      </c>
      <c r="G15" s="1">
        <v>-2.18E-2</v>
      </c>
    </row>
    <row r="16" spans="1:7" x14ac:dyDescent="0.5">
      <c r="A16" s="3">
        <v>45839</v>
      </c>
      <c r="B16">
        <v>234.11</v>
      </c>
      <c r="C16">
        <v>219.5</v>
      </c>
      <c r="D16">
        <v>236.53</v>
      </c>
      <c r="E16">
        <v>217.93</v>
      </c>
      <c r="F16" t="s">
        <v>1473</v>
      </c>
      <c r="G16" s="1">
        <v>6.7100000000000007E-2</v>
      </c>
    </row>
    <row r="17" spans="1:7" x14ac:dyDescent="0.5">
      <c r="A17" t="s">
        <v>7</v>
      </c>
      <c r="B17">
        <v>219.39</v>
      </c>
      <c r="C17">
        <v>204.98</v>
      </c>
      <c r="D17">
        <v>223.82</v>
      </c>
      <c r="E17">
        <v>202.68</v>
      </c>
      <c r="F17" t="s">
        <v>738</v>
      </c>
      <c r="G17" s="1">
        <v>7.0099999999999996E-2</v>
      </c>
    </row>
    <row r="18" spans="1:7" x14ac:dyDescent="0.5">
      <c r="A18" t="s">
        <v>9</v>
      </c>
      <c r="B18">
        <v>205.01</v>
      </c>
      <c r="C18">
        <v>190.63</v>
      </c>
      <c r="D18">
        <v>214.84</v>
      </c>
      <c r="E18">
        <v>183.85</v>
      </c>
      <c r="F18" t="s">
        <v>739</v>
      </c>
      <c r="G18" s="1">
        <v>0.1116</v>
      </c>
    </row>
    <row r="19" spans="1:7" x14ac:dyDescent="0.5">
      <c r="A19" t="s">
        <v>11</v>
      </c>
      <c r="B19">
        <v>184.42</v>
      </c>
      <c r="C19">
        <v>187.86</v>
      </c>
      <c r="D19">
        <v>198.34</v>
      </c>
      <c r="E19">
        <v>161.38</v>
      </c>
      <c r="F19" t="s">
        <v>339</v>
      </c>
      <c r="G19" s="1">
        <v>-3.0700000000000002E-2</v>
      </c>
    </row>
    <row r="20" spans="1:7" x14ac:dyDescent="0.5">
      <c r="A20" t="s">
        <v>13</v>
      </c>
      <c r="B20">
        <v>190.26</v>
      </c>
      <c r="C20">
        <v>213.35</v>
      </c>
      <c r="D20">
        <v>214.01</v>
      </c>
      <c r="E20">
        <v>184.4</v>
      </c>
      <c r="F20" t="s">
        <v>740</v>
      </c>
      <c r="G20" s="1">
        <v>-0.1037</v>
      </c>
    </row>
    <row r="21" spans="1:7" x14ac:dyDescent="0.5">
      <c r="A21" t="s">
        <v>15</v>
      </c>
      <c r="B21">
        <v>212.28</v>
      </c>
      <c r="C21">
        <v>234.06</v>
      </c>
      <c r="D21">
        <v>242.52</v>
      </c>
      <c r="E21">
        <v>204.16</v>
      </c>
      <c r="F21" t="s">
        <v>741</v>
      </c>
      <c r="G21" s="1">
        <v>-0.1069</v>
      </c>
    </row>
    <row r="22" spans="1:7" x14ac:dyDescent="0.5">
      <c r="A22" t="s">
        <v>17</v>
      </c>
      <c r="B22">
        <v>237.68</v>
      </c>
      <c r="C22">
        <v>222.03</v>
      </c>
      <c r="D22">
        <v>241.77</v>
      </c>
      <c r="E22">
        <v>216.2</v>
      </c>
      <c r="F22" t="s">
        <v>742</v>
      </c>
      <c r="G22" s="1">
        <v>8.3400000000000002E-2</v>
      </c>
    </row>
    <row r="23" spans="1:7" x14ac:dyDescent="0.5">
      <c r="A23" t="s">
        <v>19</v>
      </c>
      <c r="B23">
        <v>219.39</v>
      </c>
      <c r="C23">
        <v>209.96</v>
      </c>
      <c r="D23">
        <v>233</v>
      </c>
      <c r="E23">
        <v>209.51</v>
      </c>
      <c r="F23" t="s">
        <v>743</v>
      </c>
      <c r="G23" s="1">
        <v>5.5300000000000002E-2</v>
      </c>
    </row>
    <row r="24" spans="1:7" x14ac:dyDescent="0.5">
      <c r="A24" t="s">
        <v>21</v>
      </c>
      <c r="B24">
        <v>207.89</v>
      </c>
      <c r="C24">
        <v>199</v>
      </c>
      <c r="D24">
        <v>215.9</v>
      </c>
      <c r="E24">
        <v>194.31</v>
      </c>
      <c r="F24" t="s">
        <v>744</v>
      </c>
      <c r="G24" s="1">
        <v>0.1153</v>
      </c>
    </row>
    <row r="25" spans="1:7" x14ac:dyDescent="0.5">
      <c r="A25" t="s">
        <v>23</v>
      </c>
      <c r="B25">
        <v>186.4</v>
      </c>
      <c r="C25">
        <v>184.9</v>
      </c>
      <c r="D25">
        <v>195.61</v>
      </c>
      <c r="E25">
        <v>180.25</v>
      </c>
      <c r="F25" t="s">
        <v>745</v>
      </c>
      <c r="G25" s="1">
        <v>4.0000000000000002E-4</v>
      </c>
    </row>
    <row r="26" spans="1:7" x14ac:dyDescent="0.5">
      <c r="A26" t="s">
        <v>25</v>
      </c>
      <c r="B26">
        <v>186.33</v>
      </c>
      <c r="C26">
        <v>177.55</v>
      </c>
      <c r="D26">
        <v>195.37</v>
      </c>
      <c r="E26">
        <v>171.16</v>
      </c>
      <c r="F26" t="s">
        <v>746</v>
      </c>
      <c r="G26" s="1">
        <v>4.3900000000000002E-2</v>
      </c>
    </row>
    <row r="27" spans="1:7" x14ac:dyDescent="0.5">
      <c r="A27" t="s">
        <v>27</v>
      </c>
      <c r="B27">
        <v>178.5</v>
      </c>
      <c r="C27">
        <v>189.29</v>
      </c>
      <c r="D27">
        <v>190.6</v>
      </c>
      <c r="E27">
        <v>151.61000000000001</v>
      </c>
      <c r="F27" t="s">
        <v>747</v>
      </c>
      <c r="G27" s="1">
        <v>-4.5400000000000003E-2</v>
      </c>
    </row>
    <row r="28" spans="1:7" x14ac:dyDescent="0.5">
      <c r="A28" t="s">
        <v>29</v>
      </c>
      <c r="B28">
        <v>186.98</v>
      </c>
      <c r="C28">
        <v>193.49</v>
      </c>
      <c r="D28">
        <v>201.2</v>
      </c>
      <c r="E28">
        <v>176.8</v>
      </c>
      <c r="F28" t="s">
        <v>748</v>
      </c>
      <c r="G28" s="1">
        <v>-3.2399999999999998E-2</v>
      </c>
    </row>
    <row r="29" spans="1:7" x14ac:dyDescent="0.5">
      <c r="A29" t="s">
        <v>31</v>
      </c>
      <c r="B29">
        <v>193.25</v>
      </c>
      <c r="C29">
        <v>177.7</v>
      </c>
      <c r="D29">
        <v>199.84</v>
      </c>
      <c r="E29">
        <v>175.92</v>
      </c>
      <c r="F29" t="s">
        <v>749</v>
      </c>
      <c r="G29" s="1">
        <v>9.5299999999999996E-2</v>
      </c>
    </row>
    <row r="30" spans="1:7" x14ac:dyDescent="0.5">
      <c r="A30" t="s">
        <v>33</v>
      </c>
      <c r="B30">
        <v>176.44</v>
      </c>
      <c r="C30">
        <v>181.63</v>
      </c>
      <c r="D30">
        <v>191.7</v>
      </c>
      <c r="E30">
        <v>173.87</v>
      </c>
      <c r="F30" t="s">
        <v>750</v>
      </c>
      <c r="G30" s="1">
        <v>8.2000000000000007E-3</v>
      </c>
    </row>
    <row r="31" spans="1:7" x14ac:dyDescent="0.5">
      <c r="A31" t="s">
        <v>35</v>
      </c>
      <c r="B31">
        <v>175</v>
      </c>
      <c r="C31">
        <v>180.79</v>
      </c>
      <c r="D31">
        <v>189.77</v>
      </c>
      <c r="E31">
        <v>166.32</v>
      </c>
      <c r="F31" t="s">
        <v>751</v>
      </c>
      <c r="G31" s="1">
        <v>-2.98E-2</v>
      </c>
    </row>
    <row r="32" spans="1:7" x14ac:dyDescent="0.5">
      <c r="A32" t="s">
        <v>37</v>
      </c>
      <c r="B32">
        <v>180.38</v>
      </c>
      <c r="C32">
        <v>176.75</v>
      </c>
      <c r="D32">
        <v>181.7</v>
      </c>
      <c r="E32">
        <v>171.47</v>
      </c>
      <c r="F32" t="s">
        <v>752</v>
      </c>
      <c r="G32" s="1">
        <v>2.0500000000000001E-2</v>
      </c>
    </row>
    <row r="33" spans="1:7" x14ac:dyDescent="0.5">
      <c r="A33" t="s">
        <v>39</v>
      </c>
      <c r="B33">
        <v>176.76</v>
      </c>
      <c r="C33">
        <v>155.87</v>
      </c>
      <c r="D33">
        <v>177.22</v>
      </c>
      <c r="E33">
        <v>155.62</v>
      </c>
      <c r="F33" t="s">
        <v>586</v>
      </c>
      <c r="G33" s="1">
        <v>0.1389</v>
      </c>
    </row>
    <row r="34" spans="1:7" x14ac:dyDescent="0.5">
      <c r="A34" t="s">
        <v>41</v>
      </c>
      <c r="B34">
        <v>155.19999999999999</v>
      </c>
      <c r="C34">
        <v>151.54</v>
      </c>
      <c r="D34">
        <v>161.72999999999999</v>
      </c>
      <c r="E34">
        <v>144.05000000000001</v>
      </c>
      <c r="F34" t="s">
        <v>753</v>
      </c>
      <c r="G34" s="1">
        <v>2.1499999999999998E-2</v>
      </c>
    </row>
    <row r="35" spans="1:7" x14ac:dyDescent="0.5">
      <c r="A35" t="s">
        <v>43</v>
      </c>
      <c r="B35">
        <v>151.94</v>
      </c>
      <c r="C35">
        <v>146</v>
      </c>
      <c r="D35">
        <v>155.63</v>
      </c>
      <c r="E35">
        <v>142.81</v>
      </c>
      <c r="F35" t="s">
        <v>754</v>
      </c>
      <c r="G35" s="1">
        <v>0.04</v>
      </c>
    </row>
    <row r="36" spans="1:7" x14ac:dyDescent="0.5">
      <c r="A36" t="s">
        <v>45</v>
      </c>
      <c r="B36">
        <v>146.09</v>
      </c>
      <c r="C36">
        <v>133.96</v>
      </c>
      <c r="D36">
        <v>149.26</v>
      </c>
      <c r="E36">
        <v>133.71</v>
      </c>
      <c r="F36" t="s">
        <v>683</v>
      </c>
      <c r="G36" s="1">
        <v>9.7699999999999995E-2</v>
      </c>
    </row>
    <row r="37" spans="1:7" x14ac:dyDescent="0.5">
      <c r="A37" t="s">
        <v>47</v>
      </c>
      <c r="B37">
        <v>133.09</v>
      </c>
      <c r="C37">
        <v>127.28</v>
      </c>
      <c r="D37">
        <v>134.47999999999999</v>
      </c>
      <c r="E37">
        <v>118.35</v>
      </c>
      <c r="F37" t="s">
        <v>304</v>
      </c>
      <c r="G37" s="1">
        <v>4.7E-2</v>
      </c>
    </row>
    <row r="38" spans="1:7" x14ac:dyDescent="0.5">
      <c r="A38" t="s">
        <v>49</v>
      </c>
      <c r="B38">
        <v>127.12</v>
      </c>
      <c r="C38">
        <v>139.46</v>
      </c>
      <c r="D38">
        <v>145.86000000000001</v>
      </c>
      <c r="E38">
        <v>123.04</v>
      </c>
      <c r="F38" t="s">
        <v>310</v>
      </c>
      <c r="G38" s="1">
        <v>-7.8899999999999998E-2</v>
      </c>
    </row>
    <row r="39" spans="1:7" x14ac:dyDescent="0.5">
      <c r="A39" t="s">
        <v>51</v>
      </c>
      <c r="B39">
        <v>138.01</v>
      </c>
      <c r="C39">
        <v>133.55000000000001</v>
      </c>
      <c r="D39">
        <v>143.63</v>
      </c>
      <c r="E39">
        <v>126.41</v>
      </c>
      <c r="F39" t="s">
        <v>755</v>
      </c>
      <c r="G39" s="1">
        <v>3.2399999999999998E-2</v>
      </c>
    </row>
    <row r="40" spans="1:7" x14ac:dyDescent="0.5">
      <c r="A40" t="s">
        <v>53</v>
      </c>
      <c r="B40">
        <v>133.68</v>
      </c>
      <c r="C40">
        <v>130.82</v>
      </c>
      <c r="D40">
        <v>136.65</v>
      </c>
      <c r="E40">
        <v>125.92</v>
      </c>
      <c r="F40" t="s">
        <v>331</v>
      </c>
      <c r="G40" s="1">
        <v>2.5499999999999998E-2</v>
      </c>
    </row>
    <row r="41" spans="1:7" x14ac:dyDescent="0.5">
      <c r="A41" t="s">
        <v>55</v>
      </c>
      <c r="B41">
        <v>130.36000000000001</v>
      </c>
      <c r="C41">
        <v>120.69</v>
      </c>
      <c r="D41">
        <v>131.49</v>
      </c>
      <c r="E41">
        <v>119.93</v>
      </c>
      <c r="F41" t="s">
        <v>756</v>
      </c>
      <c r="G41" s="1">
        <v>8.1100000000000005E-2</v>
      </c>
    </row>
    <row r="42" spans="1:7" x14ac:dyDescent="0.5">
      <c r="A42" t="s">
        <v>57</v>
      </c>
      <c r="B42">
        <v>120.58</v>
      </c>
      <c r="C42">
        <v>104.95</v>
      </c>
      <c r="D42">
        <v>122.92</v>
      </c>
      <c r="E42">
        <v>101.15</v>
      </c>
      <c r="F42" t="s">
        <v>330</v>
      </c>
      <c r="G42" s="1">
        <v>0.14349999999999999</v>
      </c>
    </row>
    <row r="43" spans="1:7" x14ac:dyDescent="0.5">
      <c r="A43" t="s">
        <v>59</v>
      </c>
      <c r="B43">
        <v>105.45</v>
      </c>
      <c r="C43">
        <v>102.3</v>
      </c>
      <c r="D43">
        <v>110.86</v>
      </c>
      <c r="E43">
        <v>97.71</v>
      </c>
      <c r="F43" t="s">
        <v>304</v>
      </c>
      <c r="G43" s="1">
        <v>2.0899999999999998E-2</v>
      </c>
    </row>
    <row r="44" spans="1:7" x14ac:dyDescent="0.5">
      <c r="A44" t="s">
        <v>61</v>
      </c>
      <c r="B44">
        <v>103.29</v>
      </c>
      <c r="C44">
        <v>93.87</v>
      </c>
      <c r="D44">
        <v>103.49</v>
      </c>
      <c r="E44">
        <v>88.12</v>
      </c>
      <c r="F44" t="s">
        <v>707</v>
      </c>
      <c r="G44" s="1">
        <v>9.6100000000000005E-2</v>
      </c>
    </row>
    <row r="45" spans="1:7" x14ac:dyDescent="0.5">
      <c r="A45" t="s">
        <v>62</v>
      </c>
      <c r="B45">
        <v>94.23</v>
      </c>
      <c r="C45">
        <v>102.53</v>
      </c>
      <c r="D45">
        <v>114</v>
      </c>
      <c r="E45">
        <v>92.32</v>
      </c>
      <c r="F45" t="s">
        <v>757</v>
      </c>
      <c r="G45" s="1">
        <v>-8.6300000000000002E-2</v>
      </c>
    </row>
    <row r="46" spans="1:7" x14ac:dyDescent="0.5">
      <c r="A46" t="s">
        <v>64</v>
      </c>
      <c r="B46">
        <v>103.13</v>
      </c>
      <c r="C46">
        <v>85.46</v>
      </c>
      <c r="D46">
        <v>103.49</v>
      </c>
      <c r="E46">
        <v>81.430000000000007</v>
      </c>
      <c r="F46" t="s">
        <v>338</v>
      </c>
      <c r="G46" s="1">
        <v>0.22770000000000001</v>
      </c>
    </row>
    <row r="47" spans="1:7" x14ac:dyDescent="0.5">
      <c r="A47" t="s">
        <v>66</v>
      </c>
      <c r="B47">
        <v>84</v>
      </c>
      <c r="C47">
        <v>96.99</v>
      </c>
      <c r="D47">
        <v>97.23</v>
      </c>
      <c r="E47">
        <v>81.69</v>
      </c>
      <c r="F47" t="s">
        <v>758</v>
      </c>
      <c r="G47" s="1">
        <v>-0.12989999999999999</v>
      </c>
    </row>
    <row r="48" spans="1:7" x14ac:dyDescent="0.5">
      <c r="A48" t="s">
        <v>68</v>
      </c>
      <c r="B48">
        <v>96.54</v>
      </c>
      <c r="C48">
        <v>103.99</v>
      </c>
      <c r="D48">
        <v>104.58</v>
      </c>
      <c r="E48">
        <v>85.87</v>
      </c>
      <c r="F48" t="s">
        <v>759</v>
      </c>
      <c r="G48" s="1">
        <v>-5.7599999999999998E-2</v>
      </c>
    </row>
    <row r="49" spans="1:7" x14ac:dyDescent="0.5">
      <c r="A49" t="s">
        <v>70</v>
      </c>
      <c r="B49">
        <v>102.44</v>
      </c>
      <c r="C49">
        <v>113.58</v>
      </c>
      <c r="D49">
        <v>123</v>
      </c>
      <c r="E49">
        <v>97.66</v>
      </c>
      <c r="F49" t="s">
        <v>353</v>
      </c>
      <c r="G49" s="1">
        <v>-9.35E-2</v>
      </c>
    </row>
    <row r="50" spans="1:7" x14ac:dyDescent="0.5">
      <c r="A50" t="s">
        <v>72</v>
      </c>
      <c r="B50">
        <v>113</v>
      </c>
      <c r="C50">
        <v>126</v>
      </c>
      <c r="D50">
        <v>136.49</v>
      </c>
      <c r="E50">
        <v>112.06</v>
      </c>
      <c r="F50" t="s">
        <v>755</v>
      </c>
      <c r="G50" s="1">
        <v>-0.1086</v>
      </c>
    </row>
    <row r="51" spans="1:7" x14ac:dyDescent="0.5">
      <c r="A51" t="s">
        <v>74</v>
      </c>
      <c r="B51">
        <v>126.77</v>
      </c>
      <c r="C51">
        <v>134.96</v>
      </c>
      <c r="D51">
        <v>146.57</v>
      </c>
      <c r="E51">
        <v>126.74</v>
      </c>
      <c r="F51" t="s">
        <v>332</v>
      </c>
      <c r="G51" s="1">
        <v>-6.0600000000000001E-2</v>
      </c>
    </row>
    <row r="52" spans="1:7" x14ac:dyDescent="0.5">
      <c r="A52" t="s">
        <v>76</v>
      </c>
      <c r="B52">
        <v>134.94999999999999</v>
      </c>
      <c r="C52">
        <v>106.29</v>
      </c>
      <c r="D52">
        <v>137.65</v>
      </c>
      <c r="E52">
        <v>105.85</v>
      </c>
      <c r="F52" t="s">
        <v>329</v>
      </c>
      <c r="G52" s="1">
        <v>0.27060000000000001</v>
      </c>
    </row>
    <row r="53" spans="1:7" x14ac:dyDescent="0.5">
      <c r="A53" t="s">
        <v>78</v>
      </c>
      <c r="B53">
        <v>106.21</v>
      </c>
      <c r="C53">
        <v>122.26</v>
      </c>
      <c r="D53">
        <v>128.99</v>
      </c>
      <c r="E53">
        <v>101.43</v>
      </c>
      <c r="F53" t="s">
        <v>760</v>
      </c>
      <c r="G53" s="1">
        <v>-0.11650000000000001</v>
      </c>
    </row>
    <row r="54" spans="1:7" x14ac:dyDescent="0.5">
      <c r="A54" t="s">
        <v>80</v>
      </c>
      <c r="B54">
        <v>120.21</v>
      </c>
      <c r="C54">
        <v>122.4</v>
      </c>
      <c r="D54">
        <v>126.22</v>
      </c>
      <c r="E54">
        <v>101.26</v>
      </c>
      <c r="F54" t="s">
        <v>761</v>
      </c>
      <c r="G54" s="1">
        <v>-3.2800000000000003E-2</v>
      </c>
    </row>
    <row r="55" spans="1:7" x14ac:dyDescent="0.5">
      <c r="A55" t="s">
        <v>82</v>
      </c>
      <c r="B55">
        <v>124.28</v>
      </c>
      <c r="C55">
        <v>164.15</v>
      </c>
      <c r="D55">
        <v>168.39</v>
      </c>
      <c r="E55">
        <v>121.63</v>
      </c>
      <c r="F55" t="s">
        <v>18</v>
      </c>
      <c r="G55" s="1">
        <v>-0.23749999999999999</v>
      </c>
    </row>
    <row r="56" spans="1:7" x14ac:dyDescent="0.5">
      <c r="A56" t="s">
        <v>84</v>
      </c>
      <c r="B56">
        <v>163</v>
      </c>
      <c r="C56">
        <v>152.72999999999999</v>
      </c>
      <c r="D56">
        <v>170.83</v>
      </c>
      <c r="E56">
        <v>133.57</v>
      </c>
      <c r="F56" t="s">
        <v>348</v>
      </c>
      <c r="G56" s="1">
        <v>6.1400000000000003E-2</v>
      </c>
    </row>
    <row r="57" spans="1:7" x14ac:dyDescent="0.5">
      <c r="A57" t="s">
        <v>86</v>
      </c>
      <c r="B57">
        <v>153.56</v>
      </c>
      <c r="C57">
        <v>150</v>
      </c>
      <c r="D57">
        <v>163.83000000000001</v>
      </c>
      <c r="E57">
        <v>138.33000000000001</v>
      </c>
      <c r="F57" t="s">
        <v>346</v>
      </c>
      <c r="G57" s="1">
        <v>2.6700000000000002E-2</v>
      </c>
    </row>
    <row r="58" spans="1:7" x14ac:dyDescent="0.5">
      <c r="A58" t="s">
        <v>88</v>
      </c>
      <c r="B58">
        <v>149.57</v>
      </c>
      <c r="C58">
        <v>167.55</v>
      </c>
      <c r="D58">
        <v>171.4</v>
      </c>
      <c r="E58">
        <v>135.35</v>
      </c>
      <c r="F58" t="s">
        <v>762</v>
      </c>
      <c r="G58" s="1">
        <v>-0.1028</v>
      </c>
    </row>
    <row r="59" spans="1:7" x14ac:dyDescent="0.5">
      <c r="A59" t="s">
        <v>90</v>
      </c>
      <c r="B59">
        <v>166.72</v>
      </c>
      <c r="C59">
        <v>177.25</v>
      </c>
      <c r="D59">
        <v>177.99</v>
      </c>
      <c r="E59">
        <v>165.2</v>
      </c>
      <c r="F59" t="s">
        <v>763</v>
      </c>
      <c r="G59" s="1">
        <v>-4.9299999999999997E-2</v>
      </c>
    </row>
    <row r="60" spans="1:7" x14ac:dyDescent="0.5">
      <c r="A60" t="s">
        <v>92</v>
      </c>
      <c r="B60">
        <v>175.35</v>
      </c>
      <c r="C60">
        <v>168.09</v>
      </c>
      <c r="D60">
        <v>188.11</v>
      </c>
      <c r="E60">
        <v>164.18</v>
      </c>
      <c r="F60" t="s">
        <v>338</v>
      </c>
      <c r="G60" s="1">
        <v>3.9899999999999998E-2</v>
      </c>
    </row>
    <row r="61" spans="1:7" x14ac:dyDescent="0.5">
      <c r="A61" t="s">
        <v>94</v>
      </c>
      <c r="B61">
        <v>168.62</v>
      </c>
      <c r="C61">
        <v>164.45</v>
      </c>
      <c r="D61">
        <v>173.95</v>
      </c>
      <c r="E61">
        <v>158.81</v>
      </c>
      <c r="F61" t="s">
        <v>24</v>
      </c>
      <c r="G61" s="1">
        <v>2.6599999999999999E-2</v>
      </c>
    </row>
    <row r="62" spans="1:7" x14ac:dyDescent="0.5">
      <c r="A62" t="s">
        <v>96</v>
      </c>
      <c r="B62">
        <v>164.25</v>
      </c>
      <c r="C62">
        <v>174.82</v>
      </c>
      <c r="D62">
        <v>177.5</v>
      </c>
      <c r="E62">
        <v>163.69999999999999</v>
      </c>
      <c r="F62" t="s">
        <v>298</v>
      </c>
      <c r="G62" s="1">
        <v>-5.3499999999999999E-2</v>
      </c>
    </row>
    <row r="63" spans="1:7" x14ac:dyDescent="0.5">
      <c r="A63" t="s">
        <v>98</v>
      </c>
      <c r="B63">
        <v>173.54</v>
      </c>
      <c r="C63">
        <v>167.65</v>
      </c>
      <c r="D63">
        <v>173.63</v>
      </c>
      <c r="E63">
        <v>158.79</v>
      </c>
      <c r="F63" t="s">
        <v>36</v>
      </c>
      <c r="G63" s="1">
        <v>4.2999999999999997E-2</v>
      </c>
    </row>
    <row r="64" spans="1:7" x14ac:dyDescent="0.5">
      <c r="A64" t="s">
        <v>100</v>
      </c>
      <c r="B64">
        <v>166.38</v>
      </c>
      <c r="C64">
        <v>171.73</v>
      </c>
      <c r="D64">
        <v>188.65</v>
      </c>
      <c r="E64">
        <v>165.35</v>
      </c>
      <c r="F64" t="s">
        <v>764</v>
      </c>
      <c r="G64" s="1">
        <v>-3.27E-2</v>
      </c>
    </row>
    <row r="65" spans="1:7" x14ac:dyDescent="0.5">
      <c r="A65" t="s">
        <v>102</v>
      </c>
      <c r="B65">
        <v>172.01</v>
      </c>
      <c r="C65">
        <v>162.16999999999999</v>
      </c>
      <c r="D65">
        <v>176.24</v>
      </c>
      <c r="E65">
        <v>158.61000000000001</v>
      </c>
      <c r="F65" t="s">
        <v>329</v>
      </c>
      <c r="G65" s="1">
        <v>6.7400000000000002E-2</v>
      </c>
    </row>
    <row r="66" spans="1:7" x14ac:dyDescent="0.5">
      <c r="A66" t="s">
        <v>104</v>
      </c>
      <c r="B66">
        <v>161.15</v>
      </c>
      <c r="C66">
        <v>174.24</v>
      </c>
      <c r="D66">
        <v>174.33</v>
      </c>
      <c r="E66">
        <v>156.37</v>
      </c>
      <c r="F66" t="s">
        <v>765</v>
      </c>
      <c r="G66" s="1">
        <v>-7.0499999999999993E-2</v>
      </c>
    </row>
    <row r="67" spans="1:7" x14ac:dyDescent="0.5">
      <c r="A67" t="s">
        <v>106</v>
      </c>
      <c r="B67">
        <v>173.37</v>
      </c>
      <c r="C67">
        <v>155.9</v>
      </c>
      <c r="D67">
        <v>177.7</v>
      </c>
      <c r="E67">
        <v>155.78</v>
      </c>
      <c r="F67" t="s">
        <v>766</v>
      </c>
      <c r="G67" s="1">
        <v>0.1207</v>
      </c>
    </row>
    <row r="68" spans="1:7" x14ac:dyDescent="0.5">
      <c r="A68" t="s">
        <v>108</v>
      </c>
      <c r="B68">
        <v>154.69999999999999</v>
      </c>
      <c r="C68">
        <v>156.38999999999999</v>
      </c>
      <c r="D68">
        <v>159.1</v>
      </c>
      <c r="E68">
        <v>144.05000000000001</v>
      </c>
      <c r="F68" t="s">
        <v>767</v>
      </c>
      <c r="G68" s="1">
        <v>4.0000000000000002E-4</v>
      </c>
    </row>
    <row r="69" spans="1:7" x14ac:dyDescent="0.5">
      <c r="A69" t="s">
        <v>110</v>
      </c>
      <c r="B69">
        <v>154.65</v>
      </c>
      <c r="C69">
        <v>162.12</v>
      </c>
      <c r="D69">
        <v>171.7</v>
      </c>
      <c r="E69">
        <v>151.84</v>
      </c>
      <c r="F69" t="s">
        <v>22</v>
      </c>
      <c r="G69" s="1">
        <v>-3.5299999999999998E-2</v>
      </c>
    </row>
    <row r="70" spans="1:7" x14ac:dyDescent="0.5">
      <c r="A70" t="s">
        <v>112</v>
      </c>
      <c r="B70">
        <v>160.31</v>
      </c>
      <c r="C70">
        <v>163.5</v>
      </c>
      <c r="D70">
        <v>168.19</v>
      </c>
      <c r="E70">
        <v>154.30000000000001</v>
      </c>
      <c r="F70" t="s">
        <v>330</v>
      </c>
      <c r="G70" s="1">
        <v>-1.5599999999999999E-2</v>
      </c>
    </row>
    <row r="71" spans="1:7" x14ac:dyDescent="0.5">
      <c r="A71" t="s">
        <v>114</v>
      </c>
      <c r="B71">
        <v>162.85</v>
      </c>
      <c r="C71">
        <v>159.43</v>
      </c>
      <c r="D71">
        <v>167.53</v>
      </c>
      <c r="E71">
        <v>153.63999999999999</v>
      </c>
      <c r="F71" t="s">
        <v>758</v>
      </c>
      <c r="G71" s="1">
        <v>2.81E-2</v>
      </c>
    </row>
    <row r="72" spans="1:7" x14ac:dyDescent="0.5">
      <c r="A72" t="s">
        <v>116</v>
      </c>
      <c r="B72">
        <v>158.4</v>
      </c>
      <c r="C72">
        <v>153.09</v>
      </c>
      <c r="D72">
        <v>168.34</v>
      </c>
      <c r="E72">
        <v>147.51</v>
      </c>
      <c r="F72" t="s">
        <v>768</v>
      </c>
      <c r="G72" s="1">
        <v>4.3400000000000001E-2</v>
      </c>
    </row>
    <row r="73" spans="1:7" x14ac:dyDescent="0.5">
      <c r="A73" t="s">
        <v>118</v>
      </c>
      <c r="B73">
        <v>151.81</v>
      </c>
      <c r="C73">
        <v>160.4</v>
      </c>
      <c r="D73">
        <v>174.81</v>
      </c>
      <c r="E73">
        <v>150.94999999999999</v>
      </c>
      <c r="F73" t="s">
        <v>769</v>
      </c>
      <c r="G73" s="1">
        <v>-3.5799999999999998E-2</v>
      </c>
    </row>
    <row r="74" spans="1:7" x14ac:dyDescent="0.5">
      <c r="A74" t="s">
        <v>120</v>
      </c>
      <c r="B74">
        <v>157.44</v>
      </c>
      <c r="C74">
        <v>174.48</v>
      </c>
      <c r="D74">
        <v>177.61</v>
      </c>
      <c r="E74">
        <v>143.55000000000001</v>
      </c>
      <c r="F74" t="s">
        <v>360</v>
      </c>
      <c r="G74" s="1">
        <v>-8.7599999999999997E-2</v>
      </c>
    </row>
    <row r="75" spans="1:7" x14ac:dyDescent="0.5">
      <c r="A75" t="s">
        <v>122</v>
      </c>
      <c r="B75">
        <v>172.55</v>
      </c>
      <c r="C75">
        <v>159.03</v>
      </c>
      <c r="D75">
        <v>174.75</v>
      </c>
      <c r="E75">
        <v>153.65</v>
      </c>
      <c r="F75" t="s">
        <v>764</v>
      </c>
      <c r="G75" s="1">
        <v>9.0499999999999997E-2</v>
      </c>
    </row>
    <row r="76" spans="1:7" x14ac:dyDescent="0.5">
      <c r="A76" t="s">
        <v>124</v>
      </c>
      <c r="B76">
        <v>158.22999999999999</v>
      </c>
      <c r="C76">
        <v>137.9</v>
      </c>
      <c r="D76">
        <v>167.21</v>
      </c>
      <c r="E76">
        <v>137.69999999999999</v>
      </c>
      <c r="F76" t="s">
        <v>770</v>
      </c>
      <c r="G76" s="1">
        <v>0.14710000000000001</v>
      </c>
    </row>
    <row r="77" spans="1:7" x14ac:dyDescent="0.5">
      <c r="A77" t="s">
        <v>126</v>
      </c>
      <c r="B77">
        <v>137.94</v>
      </c>
      <c r="C77">
        <v>122.4</v>
      </c>
      <c r="D77">
        <v>139.80000000000001</v>
      </c>
      <c r="E77">
        <v>121.86</v>
      </c>
      <c r="F77" t="s">
        <v>771</v>
      </c>
      <c r="G77" s="1">
        <v>0.12959999999999999</v>
      </c>
    </row>
    <row r="78" spans="1:7" x14ac:dyDescent="0.5">
      <c r="A78" t="s">
        <v>128</v>
      </c>
      <c r="B78">
        <v>122.12</v>
      </c>
      <c r="C78">
        <v>116.84</v>
      </c>
      <c r="D78">
        <v>126.27</v>
      </c>
      <c r="E78">
        <v>112.82</v>
      </c>
      <c r="F78" t="s">
        <v>772</v>
      </c>
      <c r="G78" s="1">
        <v>-1.2800000000000001E-2</v>
      </c>
    </row>
    <row r="79" spans="1:7" x14ac:dyDescent="0.5">
      <c r="A79" t="s">
        <v>130</v>
      </c>
      <c r="B79">
        <v>123.7</v>
      </c>
      <c r="C79">
        <v>96.65</v>
      </c>
      <c r="D79">
        <v>123.75</v>
      </c>
      <c r="E79">
        <v>94.46</v>
      </c>
      <c r="F79" t="s">
        <v>371</v>
      </c>
      <c r="G79" s="1">
        <v>0.26889999999999997</v>
      </c>
    </row>
    <row r="80" spans="1:7" x14ac:dyDescent="0.5">
      <c r="A80" t="s">
        <v>132</v>
      </c>
      <c r="B80">
        <v>97.49</v>
      </c>
      <c r="C80">
        <v>95.32</v>
      </c>
      <c r="D80">
        <v>99.82</v>
      </c>
      <c r="E80">
        <v>81.3</v>
      </c>
      <c r="F80" t="s">
        <v>417</v>
      </c>
      <c r="G80" s="1">
        <v>3.5000000000000003E-2</v>
      </c>
    </row>
    <row r="81" spans="1:7" x14ac:dyDescent="0.5">
      <c r="A81" t="s">
        <v>134</v>
      </c>
      <c r="B81">
        <v>94.19</v>
      </c>
      <c r="C81">
        <v>100.53</v>
      </c>
      <c r="D81">
        <v>109.3</v>
      </c>
      <c r="E81">
        <v>90.56</v>
      </c>
      <c r="F81" t="s">
        <v>8</v>
      </c>
      <c r="G81" s="1">
        <v>-6.2199999999999998E-2</v>
      </c>
    </row>
    <row r="82" spans="1:7" x14ac:dyDescent="0.5">
      <c r="A82" t="s">
        <v>136</v>
      </c>
      <c r="B82">
        <v>100.44</v>
      </c>
      <c r="C82">
        <v>93.75</v>
      </c>
      <c r="D82">
        <v>102.79</v>
      </c>
      <c r="E82">
        <v>90.77</v>
      </c>
      <c r="F82" t="s">
        <v>773</v>
      </c>
      <c r="G82" s="1">
        <v>8.7099999999999997E-2</v>
      </c>
    </row>
    <row r="83" spans="1:7" x14ac:dyDescent="0.5">
      <c r="A83" t="s">
        <v>138</v>
      </c>
      <c r="B83">
        <v>92.39</v>
      </c>
      <c r="C83">
        <v>90.22</v>
      </c>
      <c r="D83">
        <v>95.07</v>
      </c>
      <c r="E83">
        <v>86.75</v>
      </c>
      <c r="F83" t="s">
        <v>711</v>
      </c>
      <c r="G83" s="1">
        <v>2.6100000000000002E-2</v>
      </c>
    </row>
    <row r="84" spans="1:7" x14ac:dyDescent="0.5">
      <c r="A84" t="s">
        <v>140</v>
      </c>
      <c r="B84">
        <v>90.04</v>
      </c>
      <c r="C84">
        <v>89.4</v>
      </c>
      <c r="D84">
        <v>91.23</v>
      </c>
      <c r="E84">
        <v>86.14</v>
      </c>
      <c r="F84" t="s">
        <v>682</v>
      </c>
      <c r="G84" s="1">
        <v>1.3599999999999999E-2</v>
      </c>
    </row>
    <row r="85" spans="1:7" x14ac:dyDescent="0.5">
      <c r="A85" t="s">
        <v>142</v>
      </c>
      <c r="B85">
        <v>88.83</v>
      </c>
      <c r="C85">
        <v>87.3</v>
      </c>
      <c r="D85">
        <v>89.94</v>
      </c>
      <c r="E85">
        <v>84.25</v>
      </c>
      <c r="F85" t="s">
        <v>22</v>
      </c>
      <c r="G85" s="1">
        <v>2.35E-2</v>
      </c>
    </row>
    <row r="86" spans="1:7" x14ac:dyDescent="0.5">
      <c r="A86" t="s">
        <v>144</v>
      </c>
      <c r="B86">
        <v>86.8</v>
      </c>
      <c r="C86">
        <v>88.5</v>
      </c>
      <c r="D86">
        <v>92.68</v>
      </c>
      <c r="E86">
        <v>85.46</v>
      </c>
      <c r="F86" t="s">
        <v>756</v>
      </c>
      <c r="G86" s="1">
        <v>-2.2700000000000001E-2</v>
      </c>
    </row>
    <row r="87" spans="1:7" x14ac:dyDescent="0.5">
      <c r="A87" t="s">
        <v>146</v>
      </c>
      <c r="B87">
        <v>88.81</v>
      </c>
      <c r="C87">
        <v>93.59</v>
      </c>
      <c r="D87">
        <v>94.9</v>
      </c>
      <c r="E87">
        <v>87.18</v>
      </c>
      <c r="F87" t="s">
        <v>774</v>
      </c>
      <c r="G87" s="1">
        <v>-4.8500000000000001E-2</v>
      </c>
    </row>
    <row r="88" spans="1:7" x14ac:dyDescent="0.5">
      <c r="A88" t="s">
        <v>148</v>
      </c>
      <c r="B88">
        <v>93.34</v>
      </c>
      <c r="C88">
        <v>96.15</v>
      </c>
      <c r="D88">
        <v>101.79</v>
      </c>
      <c r="E88">
        <v>92.47</v>
      </c>
      <c r="F88" t="s">
        <v>353</v>
      </c>
      <c r="G88" s="1">
        <v>-1.4200000000000001E-2</v>
      </c>
    </row>
    <row r="89" spans="1:7" x14ac:dyDescent="0.5">
      <c r="A89" t="s">
        <v>150</v>
      </c>
      <c r="B89">
        <v>94.68</v>
      </c>
      <c r="C89">
        <v>88</v>
      </c>
      <c r="D89">
        <v>96.76</v>
      </c>
      <c r="E89">
        <v>83.6</v>
      </c>
      <c r="F89" t="s">
        <v>393</v>
      </c>
      <c r="G89" s="1">
        <v>6.6799999999999998E-2</v>
      </c>
    </row>
    <row r="90" spans="1:7" x14ac:dyDescent="0.5">
      <c r="A90" t="s">
        <v>152</v>
      </c>
      <c r="B90">
        <v>88.75</v>
      </c>
      <c r="C90">
        <v>96.65</v>
      </c>
      <c r="D90">
        <v>98.22</v>
      </c>
      <c r="E90">
        <v>88.64</v>
      </c>
      <c r="F90" t="s">
        <v>775</v>
      </c>
      <c r="G90" s="1">
        <v>-7.8600000000000003E-2</v>
      </c>
    </row>
    <row r="91" spans="1:7" x14ac:dyDescent="0.5">
      <c r="A91" t="s">
        <v>154</v>
      </c>
      <c r="B91">
        <v>96.33</v>
      </c>
      <c r="C91">
        <v>90.01</v>
      </c>
      <c r="D91">
        <v>97.82</v>
      </c>
      <c r="E91">
        <v>89.94</v>
      </c>
      <c r="F91" t="s">
        <v>348</v>
      </c>
      <c r="G91" s="1">
        <v>8.1900000000000001E-2</v>
      </c>
    </row>
    <row r="92" spans="1:7" x14ac:dyDescent="0.5">
      <c r="A92" t="s">
        <v>156</v>
      </c>
      <c r="B92">
        <v>89.04</v>
      </c>
      <c r="C92">
        <v>82.76</v>
      </c>
      <c r="D92">
        <v>91.19</v>
      </c>
      <c r="E92">
        <v>79.33</v>
      </c>
      <c r="F92" t="s">
        <v>377</v>
      </c>
      <c r="G92" s="1">
        <v>8.5900000000000004E-2</v>
      </c>
    </row>
    <row r="93" spans="1:7" x14ac:dyDescent="0.5">
      <c r="A93" t="s">
        <v>158</v>
      </c>
      <c r="B93">
        <v>81.99</v>
      </c>
      <c r="C93">
        <v>81.94</v>
      </c>
      <c r="D93">
        <v>83.65</v>
      </c>
      <c r="E93">
        <v>78.34</v>
      </c>
      <c r="F93" t="s">
        <v>776</v>
      </c>
      <c r="G93" s="1">
        <v>-4.5900000000000003E-2</v>
      </c>
    </row>
    <row r="94" spans="1:7" x14ac:dyDescent="0.5">
      <c r="A94" t="s">
        <v>160</v>
      </c>
      <c r="B94">
        <v>85.94</v>
      </c>
      <c r="C94">
        <v>73.260000000000005</v>
      </c>
      <c r="D94">
        <v>86.82</v>
      </c>
      <c r="E94">
        <v>73.05</v>
      </c>
      <c r="F94" t="s">
        <v>777</v>
      </c>
      <c r="G94" s="1">
        <v>0.14430000000000001</v>
      </c>
    </row>
    <row r="95" spans="1:7" x14ac:dyDescent="0.5">
      <c r="A95" t="s">
        <v>162</v>
      </c>
      <c r="B95">
        <v>75.099999999999994</v>
      </c>
      <c r="C95">
        <v>88.47</v>
      </c>
      <c r="D95">
        <v>88.92</v>
      </c>
      <c r="E95">
        <v>65.349999999999994</v>
      </c>
      <c r="F95" t="s">
        <v>778</v>
      </c>
      <c r="G95" s="1">
        <v>-0.1113</v>
      </c>
    </row>
    <row r="96" spans="1:7" x14ac:dyDescent="0.5">
      <c r="A96" t="s">
        <v>164</v>
      </c>
      <c r="B96">
        <v>84.51</v>
      </c>
      <c r="C96">
        <v>81.180000000000007</v>
      </c>
      <c r="D96">
        <v>89.2</v>
      </c>
      <c r="E96">
        <v>71</v>
      </c>
      <c r="F96" t="s">
        <v>779</v>
      </c>
      <c r="G96" s="1">
        <v>5.7700000000000001E-2</v>
      </c>
    </row>
    <row r="97" spans="1:7" x14ac:dyDescent="0.5">
      <c r="A97" t="s">
        <v>166</v>
      </c>
      <c r="B97">
        <v>79.900000000000006</v>
      </c>
      <c r="C97">
        <v>101.1</v>
      </c>
      <c r="D97">
        <v>101.66</v>
      </c>
      <c r="E97">
        <v>73.819999999999993</v>
      </c>
      <c r="F97" t="s">
        <v>780</v>
      </c>
      <c r="G97" s="1">
        <v>-0.20219999999999999</v>
      </c>
    </row>
    <row r="98" spans="1:7" x14ac:dyDescent="0.5">
      <c r="A98" t="s">
        <v>168</v>
      </c>
      <c r="B98">
        <v>100.15</v>
      </c>
      <c r="C98">
        <v>101.32</v>
      </c>
      <c r="D98">
        <v>102.53</v>
      </c>
      <c r="E98">
        <v>93.25</v>
      </c>
      <c r="F98" t="s">
        <v>356</v>
      </c>
      <c r="G98" s="1">
        <v>-4.7999999999999996E-3</v>
      </c>
    </row>
    <row r="99" spans="1:7" x14ac:dyDescent="0.5">
      <c r="A99" t="s">
        <v>170</v>
      </c>
      <c r="B99">
        <v>100.64</v>
      </c>
      <c r="C99">
        <v>89.2</v>
      </c>
      <c r="D99">
        <v>101.28</v>
      </c>
      <c r="E99">
        <v>88.8</v>
      </c>
      <c r="F99" t="s">
        <v>781</v>
      </c>
      <c r="G99" s="1">
        <v>0.13239999999999999</v>
      </c>
    </row>
    <row r="100" spans="1:7" x14ac:dyDescent="0.5">
      <c r="A100" t="s">
        <v>172</v>
      </c>
      <c r="B100">
        <v>88.87</v>
      </c>
      <c r="C100">
        <v>84.14</v>
      </c>
      <c r="D100">
        <v>94</v>
      </c>
      <c r="E100">
        <v>83.9</v>
      </c>
      <c r="F100" t="s">
        <v>782</v>
      </c>
      <c r="G100" s="1">
        <v>4.5699999999999998E-2</v>
      </c>
    </row>
    <row r="101" spans="1:7" x14ac:dyDescent="0.5">
      <c r="A101" t="s">
        <v>174</v>
      </c>
      <c r="B101">
        <v>84.99</v>
      </c>
      <c r="C101">
        <v>81.849999999999994</v>
      </c>
      <c r="D101">
        <v>88.15</v>
      </c>
      <c r="E101">
        <v>81.75</v>
      </c>
      <c r="F101" t="s">
        <v>328</v>
      </c>
      <c r="G101" s="1">
        <v>4.3099999999999999E-2</v>
      </c>
    </row>
    <row r="102" spans="1:7" x14ac:dyDescent="0.5">
      <c r="A102" t="s">
        <v>176</v>
      </c>
      <c r="B102">
        <v>81.48</v>
      </c>
      <c r="C102">
        <v>78.16</v>
      </c>
      <c r="D102">
        <v>81.75</v>
      </c>
      <c r="E102">
        <v>77.3</v>
      </c>
      <c r="F102" t="s">
        <v>330</v>
      </c>
      <c r="G102" s="1">
        <v>4.0500000000000001E-2</v>
      </c>
    </row>
    <row r="103" spans="1:7" x14ac:dyDescent="0.5">
      <c r="A103" t="s">
        <v>178</v>
      </c>
      <c r="B103">
        <v>78.31</v>
      </c>
      <c r="C103">
        <v>70.88</v>
      </c>
      <c r="D103">
        <v>81.900000000000006</v>
      </c>
      <c r="E103">
        <v>67.64</v>
      </c>
      <c r="F103" t="s">
        <v>378</v>
      </c>
      <c r="G103" s="1">
        <v>8.2100000000000006E-2</v>
      </c>
    </row>
    <row r="104" spans="1:7" x14ac:dyDescent="0.5">
      <c r="A104" t="s">
        <v>180</v>
      </c>
      <c r="B104">
        <v>72.37</v>
      </c>
      <c r="C104">
        <v>75.680000000000007</v>
      </c>
      <c r="D104">
        <v>80.88</v>
      </c>
      <c r="E104">
        <v>68.260000000000005</v>
      </c>
      <c r="F104" t="s">
        <v>783</v>
      </c>
      <c r="G104" s="1">
        <v>-4.2999999999999997E-2</v>
      </c>
    </row>
    <row r="105" spans="1:7" x14ac:dyDescent="0.5">
      <c r="A105" t="s">
        <v>182</v>
      </c>
      <c r="B105">
        <v>75.62</v>
      </c>
      <c r="C105">
        <v>72.25</v>
      </c>
      <c r="D105">
        <v>76.430000000000007</v>
      </c>
      <c r="E105">
        <v>63.3</v>
      </c>
      <c r="F105" t="s">
        <v>784</v>
      </c>
      <c r="G105" s="1">
        <v>4.24E-2</v>
      </c>
    </row>
    <row r="106" spans="1:7" x14ac:dyDescent="0.5">
      <c r="A106" t="s">
        <v>184</v>
      </c>
      <c r="B106">
        <v>72.540000000000006</v>
      </c>
      <c r="C106">
        <v>58.6</v>
      </c>
      <c r="D106">
        <v>73.63</v>
      </c>
      <c r="E106">
        <v>58.53</v>
      </c>
      <c r="F106" t="s">
        <v>781</v>
      </c>
      <c r="G106" s="1">
        <v>0.24060000000000001</v>
      </c>
    </row>
    <row r="107" spans="1:7" x14ac:dyDescent="0.5">
      <c r="A107" t="s">
        <v>186</v>
      </c>
      <c r="B107">
        <v>58.47</v>
      </c>
      <c r="C107">
        <v>58.6</v>
      </c>
      <c r="D107">
        <v>59.74</v>
      </c>
      <c r="E107">
        <v>56.24</v>
      </c>
      <c r="F107" t="s">
        <v>308</v>
      </c>
      <c r="G107" s="1">
        <v>-6.1999999999999998E-3</v>
      </c>
    </row>
    <row r="108" spans="1:7" x14ac:dyDescent="0.5">
      <c r="A108" t="s">
        <v>188</v>
      </c>
      <c r="B108">
        <v>58.84</v>
      </c>
      <c r="C108">
        <v>55.27</v>
      </c>
      <c r="D108">
        <v>60.67</v>
      </c>
      <c r="E108">
        <v>54.34</v>
      </c>
      <c r="F108" t="s">
        <v>766</v>
      </c>
      <c r="G108" s="1">
        <v>6.4699999999999994E-2</v>
      </c>
    </row>
    <row r="109" spans="1:7" x14ac:dyDescent="0.5">
      <c r="A109" t="s">
        <v>190</v>
      </c>
      <c r="B109">
        <v>55.26</v>
      </c>
      <c r="C109">
        <v>48.2</v>
      </c>
      <c r="D109">
        <v>56.14</v>
      </c>
      <c r="E109">
        <v>47.52</v>
      </c>
      <c r="F109" t="s">
        <v>764</v>
      </c>
      <c r="G109" s="1">
        <v>0.1497</v>
      </c>
    </row>
    <row r="110" spans="1:7" x14ac:dyDescent="0.5">
      <c r="A110" t="s">
        <v>192</v>
      </c>
      <c r="B110">
        <v>48.07</v>
      </c>
      <c r="C110">
        <v>49.21</v>
      </c>
      <c r="D110">
        <v>50</v>
      </c>
      <c r="E110">
        <v>46.59</v>
      </c>
      <c r="F110" t="s">
        <v>30</v>
      </c>
      <c r="G110" s="1">
        <v>-1.9599999999999999E-2</v>
      </c>
    </row>
    <row r="111" spans="1:7" x14ac:dyDescent="0.5">
      <c r="A111" t="s">
        <v>194</v>
      </c>
      <c r="B111">
        <v>49.03</v>
      </c>
      <c r="C111">
        <v>49.81</v>
      </c>
      <c r="D111">
        <v>50.32</v>
      </c>
      <c r="E111">
        <v>46.82</v>
      </c>
      <c r="F111" t="s">
        <v>758</v>
      </c>
      <c r="G111" s="1">
        <v>-7.3000000000000001E-3</v>
      </c>
    </row>
    <row r="112" spans="1:7" x14ac:dyDescent="0.5">
      <c r="A112" t="s">
        <v>196</v>
      </c>
      <c r="B112">
        <v>49.39</v>
      </c>
      <c r="C112">
        <v>48.64</v>
      </c>
      <c r="D112">
        <v>54.17</v>
      </c>
      <c r="E112">
        <v>47.55</v>
      </c>
      <c r="F112" t="s">
        <v>385</v>
      </c>
      <c r="G112" s="1">
        <v>2.0400000000000001E-2</v>
      </c>
    </row>
    <row r="113" spans="1:7" x14ac:dyDescent="0.5">
      <c r="A113" t="s">
        <v>198</v>
      </c>
      <c r="B113">
        <v>48.4</v>
      </c>
      <c r="C113">
        <v>49.93</v>
      </c>
      <c r="D113">
        <v>50.85</v>
      </c>
      <c r="E113">
        <v>46.35</v>
      </c>
      <c r="F113" t="s">
        <v>354</v>
      </c>
      <c r="G113" s="1">
        <v>-2.6800000000000001E-2</v>
      </c>
    </row>
    <row r="114" spans="1:7" x14ac:dyDescent="0.5">
      <c r="A114" t="s">
        <v>200</v>
      </c>
      <c r="B114">
        <v>49.73</v>
      </c>
      <c r="C114">
        <v>46.39</v>
      </c>
      <c r="D114">
        <v>50.06</v>
      </c>
      <c r="E114">
        <v>46.39</v>
      </c>
      <c r="F114" t="s">
        <v>338</v>
      </c>
      <c r="G114" s="1">
        <v>7.5300000000000006E-2</v>
      </c>
    </row>
    <row r="115" spans="1:7" x14ac:dyDescent="0.5">
      <c r="A115" t="s">
        <v>202</v>
      </c>
      <c r="B115">
        <v>46.25</v>
      </c>
      <c r="C115">
        <v>44.4</v>
      </c>
      <c r="D115">
        <v>47.48</v>
      </c>
      <c r="E115">
        <v>44.22</v>
      </c>
      <c r="F115" t="s">
        <v>18</v>
      </c>
      <c r="G115" s="1">
        <v>4.3400000000000001E-2</v>
      </c>
    </row>
    <row r="116" spans="1:7" x14ac:dyDescent="0.5">
      <c r="A116" t="s">
        <v>204</v>
      </c>
      <c r="B116">
        <v>44.33</v>
      </c>
      <c r="C116">
        <v>42.65</v>
      </c>
      <c r="D116">
        <v>44.52</v>
      </c>
      <c r="E116">
        <v>41.67</v>
      </c>
      <c r="F116" t="s">
        <v>755</v>
      </c>
      <c r="G116" s="1">
        <v>4.9099999999999998E-2</v>
      </c>
    </row>
    <row r="117" spans="1:7" x14ac:dyDescent="0.5">
      <c r="A117" t="s">
        <v>206</v>
      </c>
      <c r="B117">
        <v>42.25</v>
      </c>
      <c r="C117">
        <v>41.46</v>
      </c>
      <c r="D117">
        <v>43.04</v>
      </c>
      <c r="E117">
        <v>40.15</v>
      </c>
      <c r="F117" t="s">
        <v>330</v>
      </c>
      <c r="G117" s="1">
        <v>2.6200000000000001E-2</v>
      </c>
    </row>
    <row r="118" spans="1:7" x14ac:dyDescent="0.5">
      <c r="A118" t="s">
        <v>208</v>
      </c>
      <c r="B118">
        <v>41.17</v>
      </c>
      <c r="C118">
        <v>37.9</v>
      </c>
      <c r="D118">
        <v>42.19</v>
      </c>
      <c r="E118">
        <v>37.380000000000003</v>
      </c>
      <c r="F118" t="s">
        <v>785</v>
      </c>
      <c r="G118" s="1">
        <v>9.8199999999999996E-2</v>
      </c>
    </row>
    <row r="119" spans="1:7" x14ac:dyDescent="0.5">
      <c r="A119" t="s">
        <v>210</v>
      </c>
      <c r="B119">
        <v>37.49</v>
      </c>
      <c r="C119">
        <v>37.619999999999997</v>
      </c>
      <c r="D119">
        <v>39.119999999999997</v>
      </c>
      <c r="E119">
        <v>36.83</v>
      </c>
      <c r="F119" t="s">
        <v>18</v>
      </c>
      <c r="G119" s="1">
        <v>-8.9999999999999998E-4</v>
      </c>
    </row>
    <row r="120" spans="1:7" x14ac:dyDescent="0.5">
      <c r="A120" t="s">
        <v>212</v>
      </c>
      <c r="B120">
        <v>37.53</v>
      </c>
      <c r="C120">
        <v>39.950000000000003</v>
      </c>
      <c r="D120">
        <v>40.04</v>
      </c>
      <c r="E120">
        <v>35.51</v>
      </c>
      <c r="F120" t="s">
        <v>14</v>
      </c>
      <c r="G120" s="1">
        <v>-4.9700000000000001E-2</v>
      </c>
    </row>
    <row r="121" spans="1:7" x14ac:dyDescent="0.5">
      <c r="A121" t="s">
        <v>214</v>
      </c>
      <c r="B121">
        <v>39.49</v>
      </c>
      <c r="C121">
        <v>41.8</v>
      </c>
      <c r="D121">
        <v>42.36</v>
      </c>
      <c r="E121">
        <v>38.729999999999997</v>
      </c>
      <c r="F121" t="s">
        <v>766</v>
      </c>
      <c r="G121" s="1">
        <v>-5.67E-2</v>
      </c>
    </row>
    <row r="122" spans="1:7" x14ac:dyDescent="0.5">
      <c r="A122" t="s">
        <v>216</v>
      </c>
      <c r="B122">
        <v>41.87</v>
      </c>
      <c r="C122">
        <v>38.54</v>
      </c>
      <c r="D122">
        <v>42</v>
      </c>
      <c r="E122">
        <v>37.799999999999997</v>
      </c>
      <c r="F122" t="s">
        <v>707</v>
      </c>
      <c r="G122" s="1">
        <v>8.8599999999999998E-2</v>
      </c>
    </row>
    <row r="123" spans="1:7" x14ac:dyDescent="0.5">
      <c r="A123" t="s">
        <v>218</v>
      </c>
      <c r="B123">
        <v>38.46</v>
      </c>
      <c r="C123">
        <v>37.99</v>
      </c>
      <c r="D123">
        <v>38.75</v>
      </c>
      <c r="E123">
        <v>37.520000000000003</v>
      </c>
      <c r="F123" t="s">
        <v>42</v>
      </c>
      <c r="G123" s="1">
        <v>1.3599999999999999E-2</v>
      </c>
    </row>
    <row r="124" spans="1:7" x14ac:dyDescent="0.5">
      <c r="A124" t="s">
        <v>220</v>
      </c>
      <c r="B124">
        <v>37.94</v>
      </c>
      <c r="C124">
        <v>35.869999999999997</v>
      </c>
      <c r="D124">
        <v>38.299999999999997</v>
      </c>
      <c r="E124">
        <v>35.83</v>
      </c>
      <c r="F124" t="s">
        <v>711</v>
      </c>
      <c r="G124" s="1">
        <v>6.0400000000000002E-2</v>
      </c>
    </row>
    <row r="125" spans="1:7" x14ac:dyDescent="0.5">
      <c r="A125" t="s">
        <v>222</v>
      </c>
      <c r="B125">
        <v>35.78</v>
      </c>
      <c r="C125">
        <v>36.04</v>
      </c>
      <c r="D125">
        <v>36.58</v>
      </c>
      <c r="E125">
        <v>34.11</v>
      </c>
      <c r="F125" t="s">
        <v>393</v>
      </c>
      <c r="G125" s="1">
        <v>-9.9000000000000008E-3</v>
      </c>
    </row>
    <row r="126" spans="1:7" x14ac:dyDescent="0.5">
      <c r="A126" t="s">
        <v>224</v>
      </c>
      <c r="B126">
        <v>36.14</v>
      </c>
      <c r="C126">
        <v>33.200000000000003</v>
      </c>
      <c r="D126">
        <v>36.21</v>
      </c>
      <c r="E126">
        <v>32.799999999999997</v>
      </c>
      <c r="F126" t="s">
        <v>786</v>
      </c>
      <c r="G126" s="1">
        <v>9.5799999999999996E-2</v>
      </c>
    </row>
    <row r="127" spans="1:7" x14ac:dyDescent="0.5">
      <c r="A127" t="s">
        <v>226</v>
      </c>
      <c r="B127">
        <v>32.979999999999997</v>
      </c>
      <c r="C127">
        <v>29.52</v>
      </c>
      <c r="D127">
        <v>33.5</v>
      </c>
      <c r="E127">
        <v>29.26</v>
      </c>
      <c r="F127" t="s">
        <v>351</v>
      </c>
      <c r="G127" s="1">
        <v>0.1111</v>
      </c>
    </row>
    <row r="128" spans="1:7" x14ac:dyDescent="0.5">
      <c r="A128" t="s">
        <v>228</v>
      </c>
      <c r="B128">
        <v>29.68</v>
      </c>
      <c r="C128">
        <v>27.81</v>
      </c>
      <c r="D128">
        <v>30.16</v>
      </c>
      <c r="E128">
        <v>26.93</v>
      </c>
      <c r="F128" t="s">
        <v>787</v>
      </c>
      <c r="G128" s="1">
        <v>7.4399999999999994E-2</v>
      </c>
    </row>
    <row r="129" spans="1:7" x14ac:dyDescent="0.5">
      <c r="A129" t="s">
        <v>230</v>
      </c>
      <c r="B129">
        <v>27.63</v>
      </c>
      <c r="C129">
        <v>28.91</v>
      </c>
      <c r="D129">
        <v>29.09</v>
      </c>
      <c r="E129">
        <v>23.7</v>
      </c>
      <c r="F129" t="s">
        <v>386</v>
      </c>
      <c r="G129" s="1">
        <v>-5.8700000000000002E-2</v>
      </c>
    </row>
    <row r="130" spans="1:7" x14ac:dyDescent="0.5">
      <c r="A130" t="s">
        <v>232</v>
      </c>
      <c r="B130">
        <v>29.35</v>
      </c>
      <c r="C130">
        <v>32.81</v>
      </c>
      <c r="D130">
        <v>32.89</v>
      </c>
      <c r="E130">
        <v>27.36</v>
      </c>
      <c r="F130" t="s">
        <v>378</v>
      </c>
      <c r="G130" s="1">
        <v>-0.13150000000000001</v>
      </c>
    </row>
    <row r="131" spans="1:7" x14ac:dyDescent="0.5">
      <c r="A131" t="s">
        <v>234</v>
      </c>
      <c r="B131">
        <v>33.79</v>
      </c>
      <c r="C131">
        <v>33.69</v>
      </c>
      <c r="D131">
        <v>34.82</v>
      </c>
      <c r="E131">
        <v>31.76</v>
      </c>
      <c r="F131" t="s">
        <v>352</v>
      </c>
      <c r="G131" s="1">
        <v>1.67E-2</v>
      </c>
    </row>
    <row r="132" spans="1:7" x14ac:dyDescent="0.5">
      <c r="A132" t="s">
        <v>236</v>
      </c>
      <c r="B132">
        <v>33.24</v>
      </c>
      <c r="C132">
        <v>31.36</v>
      </c>
      <c r="D132">
        <v>34.14</v>
      </c>
      <c r="E132">
        <v>31.02</v>
      </c>
      <c r="F132" t="s">
        <v>344</v>
      </c>
      <c r="G132" s="1">
        <v>6.2199999999999998E-2</v>
      </c>
    </row>
    <row r="133" spans="1:7" x14ac:dyDescent="0.5">
      <c r="A133" t="s">
        <v>238</v>
      </c>
      <c r="B133">
        <v>31.3</v>
      </c>
      <c r="C133">
        <v>25.55</v>
      </c>
      <c r="D133">
        <v>31.54</v>
      </c>
      <c r="E133">
        <v>25.3</v>
      </c>
      <c r="F133" t="s">
        <v>788</v>
      </c>
      <c r="G133" s="1">
        <v>0.22270000000000001</v>
      </c>
    </row>
    <row r="134" spans="1:7" x14ac:dyDescent="0.5">
      <c r="A134" t="s">
        <v>240</v>
      </c>
      <c r="B134">
        <v>25.59</v>
      </c>
      <c r="C134">
        <v>24.96</v>
      </c>
      <c r="D134">
        <v>27.49</v>
      </c>
      <c r="E134">
        <v>24.52</v>
      </c>
      <c r="F134" t="s">
        <v>766</v>
      </c>
      <c r="G134" s="1">
        <v>-1.9E-3</v>
      </c>
    </row>
    <row r="135" spans="1:7" x14ac:dyDescent="0.5">
      <c r="A135" t="s">
        <v>242</v>
      </c>
      <c r="B135">
        <v>25.64</v>
      </c>
      <c r="C135">
        <v>26.87</v>
      </c>
      <c r="D135">
        <v>27.14</v>
      </c>
      <c r="E135">
        <v>22.55</v>
      </c>
      <c r="F135" t="s">
        <v>789</v>
      </c>
      <c r="G135" s="1">
        <v>-4.3400000000000001E-2</v>
      </c>
    </row>
    <row r="136" spans="1:7" x14ac:dyDescent="0.5">
      <c r="A136" t="s">
        <v>244</v>
      </c>
      <c r="B136">
        <v>26.81</v>
      </c>
      <c r="C136">
        <v>21.97</v>
      </c>
      <c r="D136">
        <v>29.03</v>
      </c>
      <c r="E136">
        <v>21.28</v>
      </c>
      <c r="F136" t="s">
        <v>759</v>
      </c>
      <c r="G136" s="1">
        <v>0.2351</v>
      </c>
    </row>
    <row r="137" spans="1:7" x14ac:dyDescent="0.5">
      <c r="A137" t="s">
        <v>246</v>
      </c>
      <c r="B137">
        <v>21.7</v>
      </c>
      <c r="C137">
        <v>21.52</v>
      </c>
      <c r="D137">
        <v>22.35</v>
      </c>
      <c r="E137">
        <v>20.96</v>
      </c>
      <c r="F137" t="s">
        <v>319</v>
      </c>
      <c r="G137" s="1">
        <v>1.1299999999999999E-2</v>
      </c>
    </row>
    <row r="138" spans="1:7" x14ac:dyDescent="0.5">
      <c r="A138" t="s">
        <v>248</v>
      </c>
      <c r="B138">
        <v>21.46</v>
      </c>
      <c r="C138">
        <v>21.19</v>
      </c>
      <c r="D138">
        <v>21.95</v>
      </c>
      <c r="E138">
        <v>20.73</v>
      </c>
      <c r="F138" t="s">
        <v>682</v>
      </c>
      <c r="G138" s="1">
        <v>1.77E-2</v>
      </c>
    </row>
    <row r="139" spans="1:7" x14ac:dyDescent="0.5">
      <c r="A139" t="s">
        <v>250</v>
      </c>
      <c r="B139">
        <v>21.09</v>
      </c>
      <c r="C139">
        <v>18.600000000000001</v>
      </c>
      <c r="D139">
        <v>22.63</v>
      </c>
      <c r="E139">
        <v>18.420000000000002</v>
      </c>
      <c r="F139" t="s">
        <v>346</v>
      </c>
      <c r="G139" s="1">
        <v>0.13350000000000001</v>
      </c>
    </row>
    <row r="140" spans="1:7" x14ac:dyDescent="0.5">
      <c r="A140" t="s">
        <v>252</v>
      </c>
      <c r="B140">
        <v>18.600000000000001</v>
      </c>
      <c r="C140">
        <v>19.04</v>
      </c>
      <c r="D140">
        <v>19.420000000000002</v>
      </c>
      <c r="E140">
        <v>18.28</v>
      </c>
      <c r="F140" t="s">
        <v>587</v>
      </c>
      <c r="G140" s="1">
        <v>-2.12E-2</v>
      </c>
    </row>
    <row r="141" spans="1:7" x14ac:dyDescent="0.5">
      <c r="A141" t="s">
        <v>254</v>
      </c>
      <c r="B141">
        <v>19.010000000000002</v>
      </c>
      <c r="C141">
        <v>17.5</v>
      </c>
      <c r="D141">
        <v>19.47</v>
      </c>
      <c r="E141">
        <v>17.5</v>
      </c>
      <c r="F141" t="s">
        <v>790</v>
      </c>
      <c r="G141" s="1">
        <v>7.2300000000000003E-2</v>
      </c>
    </row>
    <row r="142" spans="1:7" x14ac:dyDescent="0.5">
      <c r="A142" t="s">
        <v>256</v>
      </c>
      <c r="B142">
        <v>17.73</v>
      </c>
      <c r="C142">
        <v>15.63</v>
      </c>
      <c r="D142">
        <v>17.98</v>
      </c>
      <c r="E142">
        <v>14.26</v>
      </c>
      <c r="F142" t="s">
        <v>375</v>
      </c>
      <c r="G142" s="1">
        <v>0.1424</v>
      </c>
    </row>
    <row r="143" spans="1:7" x14ac:dyDescent="0.5">
      <c r="A143" t="s">
        <v>258</v>
      </c>
      <c r="B143">
        <v>15.52</v>
      </c>
      <c r="C143">
        <v>16.91</v>
      </c>
      <c r="D143">
        <v>17.03</v>
      </c>
      <c r="E143">
        <v>14.65</v>
      </c>
      <c r="F143" t="s">
        <v>791</v>
      </c>
      <c r="G143" s="1">
        <v>-8.3500000000000005E-2</v>
      </c>
    </row>
    <row r="144" spans="1:7" x14ac:dyDescent="0.5">
      <c r="A144" t="s">
        <v>260</v>
      </c>
      <c r="B144">
        <v>16.93</v>
      </c>
      <c r="C144">
        <v>15.31</v>
      </c>
      <c r="D144">
        <v>17.059999999999999</v>
      </c>
      <c r="E144">
        <v>14.61</v>
      </c>
      <c r="F144" t="s">
        <v>792</v>
      </c>
      <c r="G144" s="1">
        <v>0.1086</v>
      </c>
    </row>
    <row r="145" spans="1:7" x14ac:dyDescent="0.5">
      <c r="A145" t="s">
        <v>262</v>
      </c>
      <c r="B145">
        <v>15.27</v>
      </c>
      <c r="C145">
        <v>16.100000000000001</v>
      </c>
      <c r="D145">
        <v>16.260000000000002</v>
      </c>
      <c r="E145">
        <v>14.2</v>
      </c>
      <c r="F145" t="s">
        <v>793</v>
      </c>
      <c r="G145" s="1">
        <v>-5.2699999999999997E-2</v>
      </c>
    </row>
    <row r="146" spans="1:7" x14ac:dyDescent="0.5">
      <c r="A146" t="s">
        <v>264</v>
      </c>
      <c r="B146">
        <v>16.12</v>
      </c>
      <c r="C146">
        <v>17</v>
      </c>
      <c r="D146">
        <v>17.47</v>
      </c>
      <c r="E146">
        <v>15.88</v>
      </c>
      <c r="F146" t="s">
        <v>757</v>
      </c>
      <c r="G146" s="1">
        <v>-4.9000000000000002E-2</v>
      </c>
    </row>
    <row r="147" spans="1:7" x14ac:dyDescent="0.5">
      <c r="A147" t="s">
        <v>266</v>
      </c>
      <c r="B147">
        <v>16.95</v>
      </c>
      <c r="C147">
        <v>15.68</v>
      </c>
      <c r="D147">
        <v>17.329999999999998</v>
      </c>
      <c r="E147">
        <v>15.23</v>
      </c>
      <c r="F147" t="s">
        <v>756</v>
      </c>
      <c r="G147" s="1">
        <v>8.3199999999999996E-2</v>
      </c>
    </row>
    <row r="148" spans="1:7" x14ac:dyDescent="0.5">
      <c r="A148" t="s">
        <v>268</v>
      </c>
      <c r="B148">
        <v>15.65</v>
      </c>
      <c r="C148">
        <v>16.29</v>
      </c>
      <c r="D148">
        <v>18.239999999999998</v>
      </c>
      <c r="E148">
        <v>15.59</v>
      </c>
      <c r="F148" t="s">
        <v>794</v>
      </c>
      <c r="G148" s="1">
        <v>-3.6299999999999999E-2</v>
      </c>
    </row>
    <row r="149" spans="1:7" x14ac:dyDescent="0.5">
      <c r="A149" t="s">
        <v>270</v>
      </c>
      <c r="B149">
        <v>16.239999999999998</v>
      </c>
      <c r="C149">
        <v>15.63</v>
      </c>
      <c r="D149">
        <v>17.04</v>
      </c>
      <c r="E149">
        <v>15.19</v>
      </c>
      <c r="F149" t="s">
        <v>762</v>
      </c>
      <c r="G149" s="1">
        <v>3.9100000000000003E-2</v>
      </c>
    </row>
    <row r="150" spans="1:7" x14ac:dyDescent="0.5">
      <c r="A150" t="s">
        <v>272</v>
      </c>
      <c r="B150">
        <v>15.63</v>
      </c>
      <c r="C150">
        <v>15.21</v>
      </c>
      <c r="D150">
        <v>15.74</v>
      </c>
      <c r="E150">
        <v>14.22</v>
      </c>
      <c r="F150" t="s">
        <v>351</v>
      </c>
      <c r="G150" s="1">
        <v>2.7400000000000001E-2</v>
      </c>
    </row>
    <row r="151" spans="1:7" x14ac:dyDescent="0.5">
      <c r="A151" t="s">
        <v>274</v>
      </c>
      <c r="B151">
        <v>15.21</v>
      </c>
      <c r="C151">
        <v>16.899999999999999</v>
      </c>
      <c r="D151">
        <v>17.41</v>
      </c>
      <c r="E151">
        <v>14.4</v>
      </c>
      <c r="F151" t="s">
        <v>795</v>
      </c>
      <c r="G151" s="1">
        <v>-9.5699999999999993E-2</v>
      </c>
    </row>
    <row r="152" spans="1:7" x14ac:dyDescent="0.5">
      <c r="A152" t="s">
        <v>276</v>
      </c>
      <c r="B152">
        <v>16.82</v>
      </c>
      <c r="C152">
        <v>17.940000000000001</v>
      </c>
      <c r="D152">
        <v>19.16</v>
      </c>
      <c r="E152">
        <v>16.54</v>
      </c>
      <c r="F152" t="s">
        <v>342</v>
      </c>
      <c r="G152" s="1">
        <v>-7.1199999999999999E-2</v>
      </c>
    </row>
    <row r="153" spans="1:7" x14ac:dyDescent="0.5">
      <c r="A153" t="s">
        <v>278</v>
      </c>
      <c r="B153">
        <v>18.11</v>
      </c>
      <c r="C153">
        <v>17.95</v>
      </c>
      <c r="D153">
        <v>18.29</v>
      </c>
      <c r="E153">
        <v>16.89</v>
      </c>
      <c r="F153" t="s">
        <v>789</v>
      </c>
      <c r="G153" s="1">
        <v>0.01</v>
      </c>
    </row>
    <row r="154" spans="1:7" x14ac:dyDescent="0.5">
      <c r="A154" t="s">
        <v>280</v>
      </c>
      <c r="B154">
        <v>17.93</v>
      </c>
      <c r="C154">
        <v>19.940000000000001</v>
      </c>
      <c r="D154">
        <v>20.399999999999999</v>
      </c>
      <c r="E154">
        <v>17.89</v>
      </c>
      <c r="F154" t="s">
        <v>348</v>
      </c>
      <c r="G154" s="1">
        <v>-0.1008</v>
      </c>
    </row>
    <row r="155" spans="1:7" x14ac:dyDescent="0.5">
      <c r="A155" t="s">
        <v>282</v>
      </c>
      <c r="B155">
        <v>19.940000000000001</v>
      </c>
      <c r="C155">
        <v>19.95</v>
      </c>
      <c r="D155">
        <v>20.28</v>
      </c>
      <c r="E155">
        <v>18.98</v>
      </c>
      <c r="F155" t="s">
        <v>587</v>
      </c>
      <c r="G155" s="1">
        <v>1.32E-2</v>
      </c>
    </row>
    <row r="156" spans="1:7" x14ac:dyDescent="0.5">
      <c r="A156" t="s">
        <v>284</v>
      </c>
      <c r="B156">
        <v>19.68</v>
      </c>
      <c r="C156">
        <v>18.28</v>
      </c>
      <c r="D156">
        <v>19.7</v>
      </c>
      <c r="E156">
        <v>17.09</v>
      </c>
      <c r="F156" t="s">
        <v>796</v>
      </c>
      <c r="G156" s="1">
        <v>8.1299999999999997E-2</v>
      </c>
    </row>
    <row r="157" spans="1:7" x14ac:dyDescent="0.5">
      <c r="A157" t="s">
        <v>286</v>
      </c>
      <c r="B157">
        <v>18.2</v>
      </c>
      <c r="C157">
        <v>15.71</v>
      </c>
      <c r="D157">
        <v>18.420000000000002</v>
      </c>
      <c r="E157">
        <v>14.83</v>
      </c>
      <c r="F157" t="s">
        <v>758</v>
      </c>
      <c r="G157" s="1">
        <v>0.16439999999999999</v>
      </c>
    </row>
    <row r="158" spans="1:7" x14ac:dyDescent="0.5">
      <c r="A158" t="s">
        <v>288</v>
      </c>
      <c r="B158">
        <v>15.63</v>
      </c>
      <c r="C158">
        <v>14.24</v>
      </c>
      <c r="D158">
        <v>16.03</v>
      </c>
      <c r="E158">
        <v>14.21</v>
      </c>
      <c r="F158" t="s">
        <v>797</v>
      </c>
      <c r="G158" s="1">
        <v>0.1125</v>
      </c>
    </row>
    <row r="159" spans="1:7" x14ac:dyDescent="0.5">
      <c r="A159" t="s">
        <v>290</v>
      </c>
      <c r="B159">
        <v>14.05</v>
      </c>
      <c r="C159">
        <v>15.15</v>
      </c>
      <c r="D159">
        <v>15.31</v>
      </c>
      <c r="E159">
        <v>13.97</v>
      </c>
      <c r="F159" t="s">
        <v>798</v>
      </c>
      <c r="G159" s="1">
        <v>-6.7100000000000007E-2</v>
      </c>
    </row>
    <row r="160" spans="1:7" x14ac:dyDescent="0.5">
      <c r="A160" t="s">
        <v>292</v>
      </c>
      <c r="B160">
        <v>15.06</v>
      </c>
      <c r="C160">
        <v>13.95</v>
      </c>
      <c r="D160">
        <v>15.68</v>
      </c>
      <c r="E160">
        <v>13.86</v>
      </c>
      <c r="F160" t="s">
        <v>707</v>
      </c>
      <c r="G160" s="1">
        <v>8.5000000000000006E-2</v>
      </c>
    </row>
    <row r="161" spans="1:7" x14ac:dyDescent="0.5">
      <c r="A161" t="s">
        <v>293</v>
      </c>
      <c r="B161">
        <v>13.88</v>
      </c>
      <c r="C161">
        <v>13.45</v>
      </c>
      <c r="D161">
        <v>14.17</v>
      </c>
      <c r="E161">
        <v>13.15</v>
      </c>
      <c r="F161" t="s">
        <v>332</v>
      </c>
      <c r="G161" s="1">
        <v>3.1199999999999999E-2</v>
      </c>
    </row>
    <row r="162" spans="1:7" x14ac:dyDescent="0.5">
      <c r="A162" t="s">
        <v>295</v>
      </c>
      <c r="B162">
        <v>13.46</v>
      </c>
      <c r="C162">
        <v>12.7</v>
      </c>
      <c r="D162">
        <v>13.6</v>
      </c>
      <c r="E162">
        <v>12.29</v>
      </c>
      <c r="F162" t="s">
        <v>799</v>
      </c>
      <c r="G162" s="1">
        <v>6.0699999999999997E-2</v>
      </c>
    </row>
    <row r="163" spans="1:7" x14ac:dyDescent="0.5">
      <c r="A163" t="s">
        <v>297</v>
      </c>
      <c r="B163">
        <v>12.69</v>
      </c>
      <c r="C163">
        <v>13.35</v>
      </c>
      <c r="D163">
        <v>13.79</v>
      </c>
      <c r="E163">
        <v>12.43</v>
      </c>
      <c r="F163" t="s">
        <v>766</v>
      </c>
      <c r="G163" s="1">
        <v>-4.7300000000000002E-2</v>
      </c>
    </row>
    <row r="164" spans="1:7" x14ac:dyDescent="0.5">
      <c r="A164" t="s">
        <v>299</v>
      </c>
      <c r="B164">
        <v>13.32</v>
      </c>
      <c r="C164">
        <v>13.16</v>
      </c>
      <c r="D164">
        <v>13.87</v>
      </c>
      <c r="E164">
        <v>12.6</v>
      </c>
      <c r="F164" t="s">
        <v>332</v>
      </c>
      <c r="G164" s="1">
        <v>8.3000000000000001E-3</v>
      </c>
    </row>
    <row r="165" spans="1:7" x14ac:dyDescent="0.5">
      <c r="A165" t="s">
        <v>301</v>
      </c>
      <c r="B165">
        <v>13.21</v>
      </c>
      <c r="C165">
        <v>13.45</v>
      </c>
      <c r="D165">
        <v>13.71</v>
      </c>
      <c r="E165">
        <v>12.76</v>
      </c>
      <c r="F165" t="s">
        <v>711</v>
      </c>
      <c r="G165" s="1">
        <v>-5.3E-3</v>
      </c>
    </row>
    <row r="166" spans="1:7" x14ac:dyDescent="0.5">
      <c r="A166" t="s">
        <v>303</v>
      </c>
      <c r="B166">
        <v>13.28</v>
      </c>
      <c r="C166">
        <v>12.8</v>
      </c>
      <c r="D166">
        <v>14.24</v>
      </c>
      <c r="E166">
        <v>12.66</v>
      </c>
      <c r="F166" t="s">
        <v>346</v>
      </c>
      <c r="G166" s="1">
        <v>5.8999999999999997E-2</v>
      </c>
    </row>
    <row r="167" spans="1:7" x14ac:dyDescent="0.5">
      <c r="A167" t="s">
        <v>305</v>
      </c>
      <c r="B167">
        <v>12.54</v>
      </c>
      <c r="C167">
        <v>12.63</v>
      </c>
      <c r="D167">
        <v>13.16</v>
      </c>
      <c r="E167">
        <v>12.14</v>
      </c>
      <c r="F167" t="s">
        <v>304</v>
      </c>
      <c r="G167" s="1">
        <v>-4.7999999999999996E-3</v>
      </c>
    </row>
    <row r="168" spans="1:7" x14ac:dyDescent="0.5">
      <c r="A168" t="s">
        <v>307</v>
      </c>
      <c r="B168">
        <v>12.6</v>
      </c>
      <c r="C168">
        <v>11.71</v>
      </c>
      <c r="D168">
        <v>12.63</v>
      </c>
      <c r="E168">
        <v>10.91</v>
      </c>
      <c r="F168" t="s">
        <v>329</v>
      </c>
      <c r="G168" s="1">
        <v>8.2500000000000004E-2</v>
      </c>
    </row>
    <row r="169" spans="1:7" x14ac:dyDescent="0.5">
      <c r="A169" t="s">
        <v>309</v>
      </c>
      <c r="B169">
        <v>11.64</v>
      </c>
      <c r="C169">
        <v>12.77</v>
      </c>
      <c r="D169">
        <v>13.1</v>
      </c>
      <c r="E169">
        <v>11.15</v>
      </c>
      <c r="F169" t="s">
        <v>348</v>
      </c>
      <c r="G169" s="1">
        <v>-8.4900000000000003E-2</v>
      </c>
    </row>
    <row r="170" spans="1:7" x14ac:dyDescent="0.5">
      <c r="A170" t="s">
        <v>311</v>
      </c>
      <c r="B170">
        <v>12.72</v>
      </c>
      <c r="C170">
        <v>12.41</v>
      </c>
      <c r="D170">
        <v>13.21</v>
      </c>
      <c r="E170">
        <v>12.23</v>
      </c>
      <c r="F170" t="s">
        <v>24</v>
      </c>
      <c r="G170" s="1">
        <v>2.5000000000000001E-2</v>
      </c>
    </row>
    <row r="171" spans="1:7" x14ac:dyDescent="0.5">
      <c r="A171" t="s">
        <v>313</v>
      </c>
      <c r="B171">
        <v>12.41</v>
      </c>
      <c r="C171">
        <v>11.71</v>
      </c>
      <c r="D171">
        <v>12.5</v>
      </c>
      <c r="E171">
        <v>11.43</v>
      </c>
      <c r="F171" t="s">
        <v>320</v>
      </c>
      <c r="G171" s="1">
        <v>6.4299999999999996E-2</v>
      </c>
    </row>
    <row r="172" spans="1:7" x14ac:dyDescent="0.5">
      <c r="A172" t="s">
        <v>315</v>
      </c>
      <c r="B172">
        <v>11.66</v>
      </c>
      <c r="C172">
        <v>11.46</v>
      </c>
      <c r="D172">
        <v>12.04</v>
      </c>
      <c r="E172">
        <v>10.63</v>
      </c>
      <c r="F172" t="s">
        <v>758</v>
      </c>
      <c r="G172" s="1">
        <v>2.1000000000000001E-2</v>
      </c>
    </row>
    <row r="173" spans="1:7" x14ac:dyDescent="0.5">
      <c r="A173" t="s">
        <v>317</v>
      </c>
      <c r="B173">
        <v>11.42</v>
      </c>
      <c r="C173">
        <v>10.42</v>
      </c>
      <c r="D173">
        <v>11.42</v>
      </c>
      <c r="E173">
        <v>10.32</v>
      </c>
      <c r="F173" t="s">
        <v>333</v>
      </c>
      <c r="G173" s="1">
        <v>7.2300000000000003E-2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3E5-2C9F-D54A-B58D-6F5844A1BE44}">
  <dimension ref="A1:G173"/>
  <sheetViews>
    <sheetView workbookViewId="0">
      <selection activeCell="B6" sqref="B6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222.27</v>
      </c>
      <c r="C2">
        <v>216.75</v>
      </c>
      <c r="D2">
        <v>234.76</v>
      </c>
      <c r="E2">
        <v>208.93</v>
      </c>
      <c r="F2" t="s">
        <v>766</v>
      </c>
      <c r="G2" s="1">
        <v>6.7000000000000002E-3</v>
      </c>
    </row>
    <row r="3" spans="1:7" x14ac:dyDescent="0.5">
      <c r="A3" s="3">
        <v>46235</v>
      </c>
      <c r="B3">
        <v>220.78</v>
      </c>
      <c r="C3">
        <v>197.69</v>
      </c>
      <c r="D3">
        <v>230.47</v>
      </c>
      <c r="E3">
        <v>196.85</v>
      </c>
      <c r="F3" t="s">
        <v>777</v>
      </c>
      <c r="G3" s="1">
        <v>9.98E-2</v>
      </c>
    </row>
    <row r="4" spans="1:7" x14ac:dyDescent="0.5">
      <c r="A4" s="3">
        <v>46204</v>
      </c>
      <c r="B4">
        <v>200.75</v>
      </c>
      <c r="C4">
        <v>196.2</v>
      </c>
      <c r="D4">
        <v>214.39</v>
      </c>
      <c r="E4">
        <v>190.01</v>
      </c>
      <c r="F4" t="s">
        <v>388</v>
      </c>
      <c r="G4" s="1">
        <v>3.3E-3</v>
      </c>
    </row>
    <row r="5" spans="1:7" x14ac:dyDescent="0.5">
      <c r="A5" s="3">
        <v>46174</v>
      </c>
      <c r="B5">
        <v>200.09</v>
      </c>
      <c r="C5">
        <v>215.73</v>
      </c>
      <c r="D5">
        <v>232.28</v>
      </c>
      <c r="E5">
        <v>189.8</v>
      </c>
      <c r="F5" t="s">
        <v>1529</v>
      </c>
      <c r="G5" s="1">
        <v>-5.2299999999999999E-2</v>
      </c>
    </row>
    <row r="6" spans="1:7" x14ac:dyDescent="0.5">
      <c r="A6" s="3">
        <v>46143</v>
      </c>
      <c r="B6">
        <v>211.14</v>
      </c>
      <c r="C6">
        <v>201.28</v>
      </c>
      <c r="D6">
        <v>236.54</v>
      </c>
      <c r="E6">
        <v>194.74</v>
      </c>
      <c r="F6" t="s">
        <v>1530</v>
      </c>
      <c r="G6" s="1">
        <v>5.8000000000000003E-2</v>
      </c>
    </row>
    <row r="7" spans="1:7" x14ac:dyDescent="0.5">
      <c r="A7" s="3">
        <v>46113</v>
      </c>
      <c r="B7">
        <v>199.57</v>
      </c>
      <c r="C7">
        <v>176</v>
      </c>
      <c r="D7">
        <v>216.82</v>
      </c>
      <c r="E7">
        <v>171.37</v>
      </c>
      <c r="F7" t="s">
        <v>1531</v>
      </c>
      <c r="G7" s="1">
        <v>0.14430000000000001</v>
      </c>
    </row>
    <row r="8" spans="1:7" x14ac:dyDescent="0.5">
      <c r="A8" s="3">
        <v>46082</v>
      </c>
      <c r="B8">
        <v>174.4</v>
      </c>
      <c r="C8">
        <v>175.01</v>
      </c>
      <c r="D8">
        <v>188.88</v>
      </c>
      <c r="E8">
        <v>164.27</v>
      </c>
      <c r="F8" t="s">
        <v>1474</v>
      </c>
      <c r="G8" s="1">
        <v>-1.5699999999999999E-2</v>
      </c>
    </row>
    <row r="9" spans="1:7" x14ac:dyDescent="0.5">
      <c r="A9" s="3">
        <v>46054</v>
      </c>
      <c r="B9">
        <v>177.19</v>
      </c>
      <c r="C9">
        <v>187.2</v>
      </c>
      <c r="D9">
        <v>197.63</v>
      </c>
      <c r="E9">
        <v>171.03</v>
      </c>
      <c r="F9" t="s">
        <v>420</v>
      </c>
      <c r="G9" s="1">
        <v>-7.2900000000000006E-2</v>
      </c>
    </row>
    <row r="10" spans="1:7" x14ac:dyDescent="0.5">
      <c r="A10" s="3">
        <v>46023</v>
      </c>
      <c r="B10">
        <v>191.13</v>
      </c>
      <c r="C10">
        <v>189.84</v>
      </c>
      <c r="D10">
        <v>194.49</v>
      </c>
      <c r="E10">
        <v>177.61</v>
      </c>
      <c r="F10" t="s">
        <v>1532</v>
      </c>
      <c r="G10" s="1">
        <v>2.4799999999999999E-2</v>
      </c>
    </row>
    <row r="11" spans="1:7" x14ac:dyDescent="0.5">
      <c r="A11" s="3">
        <v>45992</v>
      </c>
      <c r="B11">
        <v>186.5</v>
      </c>
      <c r="C11">
        <v>174.76</v>
      </c>
      <c r="D11">
        <v>192.69</v>
      </c>
      <c r="E11">
        <v>170.31</v>
      </c>
      <c r="F11" t="s">
        <v>1243</v>
      </c>
      <c r="G11" s="1">
        <v>5.3699999999999998E-2</v>
      </c>
    </row>
    <row r="12" spans="1:7" x14ac:dyDescent="0.5">
      <c r="A12" s="3">
        <v>45962</v>
      </c>
      <c r="B12">
        <v>177</v>
      </c>
      <c r="C12">
        <v>208.08</v>
      </c>
      <c r="D12">
        <v>211.34</v>
      </c>
      <c r="E12">
        <v>169.55</v>
      </c>
      <c r="F12" t="s">
        <v>1269</v>
      </c>
      <c r="G12" s="1">
        <v>-0.12590000000000001</v>
      </c>
    </row>
    <row r="13" spans="1:7" x14ac:dyDescent="0.5">
      <c r="A13" s="3">
        <v>45931</v>
      </c>
      <c r="B13">
        <v>202.49</v>
      </c>
      <c r="C13">
        <v>185.24</v>
      </c>
      <c r="D13">
        <v>212.19</v>
      </c>
      <c r="E13">
        <v>176.76</v>
      </c>
      <c r="F13" t="s">
        <v>1474</v>
      </c>
      <c r="G13" s="1">
        <v>8.5300000000000001E-2</v>
      </c>
    </row>
    <row r="14" spans="1:7" x14ac:dyDescent="0.5">
      <c r="A14" s="3">
        <v>45901</v>
      </c>
      <c r="B14">
        <v>186.58</v>
      </c>
      <c r="C14">
        <v>170</v>
      </c>
      <c r="D14">
        <v>187.35</v>
      </c>
      <c r="E14">
        <v>164.07</v>
      </c>
      <c r="F14" t="s">
        <v>363</v>
      </c>
      <c r="G14" s="1">
        <v>7.1199999999999999E-2</v>
      </c>
    </row>
    <row r="15" spans="1:7" x14ac:dyDescent="0.5">
      <c r="A15" s="3">
        <v>45870</v>
      </c>
      <c r="B15">
        <v>174.18</v>
      </c>
      <c r="C15">
        <v>174.09</v>
      </c>
      <c r="D15">
        <v>184.48</v>
      </c>
      <c r="E15">
        <v>168.8</v>
      </c>
      <c r="F15" t="s">
        <v>1475</v>
      </c>
      <c r="G15" s="1">
        <v>-2.07E-2</v>
      </c>
    </row>
    <row r="16" spans="1:7" x14ac:dyDescent="0.5">
      <c r="A16" s="3">
        <v>45839</v>
      </c>
      <c r="B16">
        <v>177.87</v>
      </c>
      <c r="C16">
        <v>156.29</v>
      </c>
      <c r="D16">
        <v>183.3</v>
      </c>
      <c r="E16">
        <v>151.49</v>
      </c>
      <c r="F16" t="s">
        <v>380</v>
      </c>
      <c r="G16" s="1">
        <v>0.1258</v>
      </c>
    </row>
    <row r="17" spans="1:7" x14ac:dyDescent="0.5">
      <c r="A17" t="s">
        <v>7</v>
      </c>
      <c r="B17">
        <v>157.99</v>
      </c>
      <c r="C17">
        <v>135.49</v>
      </c>
      <c r="D17">
        <v>158.71</v>
      </c>
      <c r="E17">
        <v>135.4</v>
      </c>
      <c r="F17" t="s">
        <v>412</v>
      </c>
      <c r="G17" s="1">
        <v>0.16919999999999999</v>
      </c>
    </row>
    <row r="18" spans="1:7" x14ac:dyDescent="0.5">
      <c r="A18" t="s">
        <v>9</v>
      </c>
      <c r="B18">
        <v>135.13</v>
      </c>
      <c r="C18">
        <v>113.08</v>
      </c>
      <c r="D18">
        <v>143.49</v>
      </c>
      <c r="E18">
        <v>110.82</v>
      </c>
      <c r="F18" t="s">
        <v>801</v>
      </c>
      <c r="G18" s="1">
        <v>0.24060000000000001</v>
      </c>
    </row>
    <row r="19" spans="1:7" x14ac:dyDescent="0.5">
      <c r="A19" t="s">
        <v>11</v>
      </c>
      <c r="B19">
        <v>108.92</v>
      </c>
      <c r="C19">
        <v>108.51</v>
      </c>
      <c r="D19">
        <v>115.1</v>
      </c>
      <c r="E19">
        <v>86.62</v>
      </c>
      <c r="F19" t="s">
        <v>802</v>
      </c>
      <c r="G19" s="1">
        <v>5.0000000000000001E-3</v>
      </c>
    </row>
    <row r="20" spans="1:7" x14ac:dyDescent="0.5">
      <c r="A20" t="s">
        <v>13</v>
      </c>
      <c r="B20">
        <v>108.38</v>
      </c>
      <c r="C20">
        <v>123.51</v>
      </c>
      <c r="D20">
        <v>123.7</v>
      </c>
      <c r="E20">
        <v>103.65</v>
      </c>
      <c r="F20" t="s">
        <v>803</v>
      </c>
      <c r="G20" s="1">
        <v>-0.13239999999999999</v>
      </c>
    </row>
    <row r="21" spans="1:7" x14ac:dyDescent="0.5">
      <c r="A21" t="s">
        <v>15</v>
      </c>
      <c r="B21">
        <v>124.92</v>
      </c>
      <c r="C21">
        <v>114.75</v>
      </c>
      <c r="D21">
        <v>143.44</v>
      </c>
      <c r="E21">
        <v>113.01</v>
      </c>
      <c r="F21" t="s">
        <v>801</v>
      </c>
      <c r="G21" s="1">
        <v>4.0399999999999998E-2</v>
      </c>
    </row>
    <row r="22" spans="1:7" x14ac:dyDescent="0.5">
      <c r="A22" t="s">
        <v>17</v>
      </c>
      <c r="B22">
        <v>120.07</v>
      </c>
      <c r="C22">
        <v>136</v>
      </c>
      <c r="D22">
        <v>153.13</v>
      </c>
      <c r="E22">
        <v>116.25</v>
      </c>
      <c r="F22" t="s">
        <v>804</v>
      </c>
      <c r="G22" s="1">
        <v>-0.10589999999999999</v>
      </c>
    </row>
    <row r="23" spans="1:7" x14ac:dyDescent="0.5">
      <c r="A23" t="s">
        <v>19</v>
      </c>
      <c r="B23">
        <v>134.29</v>
      </c>
      <c r="C23">
        <v>138.83000000000001</v>
      </c>
      <c r="D23">
        <v>146.54</v>
      </c>
      <c r="E23">
        <v>126.86</v>
      </c>
      <c r="F23" t="s">
        <v>805</v>
      </c>
      <c r="G23" s="1">
        <v>-2.86E-2</v>
      </c>
    </row>
    <row r="24" spans="1:7" x14ac:dyDescent="0.5">
      <c r="A24" t="s">
        <v>21</v>
      </c>
      <c r="B24">
        <v>138.25</v>
      </c>
      <c r="C24">
        <v>134.69999999999999</v>
      </c>
      <c r="D24">
        <v>152.88999999999999</v>
      </c>
      <c r="E24">
        <v>131.80000000000001</v>
      </c>
      <c r="F24" t="s">
        <v>806</v>
      </c>
      <c r="G24" s="1">
        <v>4.1399999999999999E-2</v>
      </c>
    </row>
    <row r="25" spans="1:7" x14ac:dyDescent="0.5">
      <c r="A25" t="s">
        <v>23</v>
      </c>
      <c r="B25">
        <v>132.76</v>
      </c>
      <c r="C25">
        <v>121.76</v>
      </c>
      <c r="D25">
        <v>144.41999999999999</v>
      </c>
      <c r="E25">
        <v>115.14</v>
      </c>
      <c r="F25" t="s">
        <v>807</v>
      </c>
      <c r="G25" s="1">
        <v>9.3200000000000005E-2</v>
      </c>
    </row>
    <row r="26" spans="1:7" x14ac:dyDescent="0.5">
      <c r="A26" t="s">
        <v>25</v>
      </c>
      <c r="B26">
        <v>121.44</v>
      </c>
      <c r="C26">
        <v>116.01</v>
      </c>
      <c r="D26">
        <v>127.67</v>
      </c>
      <c r="E26">
        <v>100.95</v>
      </c>
      <c r="F26" t="s">
        <v>808</v>
      </c>
      <c r="G26" s="1">
        <v>1.7299999999999999E-2</v>
      </c>
    </row>
    <row r="27" spans="1:7" x14ac:dyDescent="0.5">
      <c r="A27" t="s">
        <v>27</v>
      </c>
      <c r="B27">
        <v>119.37</v>
      </c>
      <c r="C27">
        <v>117.53</v>
      </c>
      <c r="D27">
        <v>131.26</v>
      </c>
      <c r="E27">
        <v>90.69</v>
      </c>
      <c r="F27" t="s">
        <v>809</v>
      </c>
      <c r="G27" s="1">
        <v>2.01E-2</v>
      </c>
    </row>
    <row r="28" spans="1:7" x14ac:dyDescent="0.5">
      <c r="A28" t="s">
        <v>29</v>
      </c>
      <c r="B28">
        <v>117.02</v>
      </c>
      <c r="C28">
        <v>123.47</v>
      </c>
      <c r="D28">
        <v>136.15</v>
      </c>
      <c r="E28">
        <v>102.54</v>
      </c>
      <c r="F28" t="s">
        <v>810</v>
      </c>
      <c r="G28" s="1">
        <v>-5.28E-2</v>
      </c>
    </row>
    <row r="29" spans="1:7" x14ac:dyDescent="0.5">
      <c r="A29" t="s">
        <v>31</v>
      </c>
      <c r="B29">
        <v>123.54</v>
      </c>
      <c r="C29">
        <v>113.62</v>
      </c>
      <c r="D29">
        <v>140.76</v>
      </c>
      <c r="E29">
        <v>112</v>
      </c>
      <c r="F29" t="s">
        <v>811</v>
      </c>
      <c r="G29" s="1">
        <v>0.12690000000000001</v>
      </c>
    </row>
    <row r="30" spans="1:7" x14ac:dyDescent="0.5">
      <c r="A30" t="s">
        <v>33</v>
      </c>
      <c r="B30">
        <v>109.63</v>
      </c>
      <c r="C30">
        <v>85.08</v>
      </c>
      <c r="D30">
        <v>115.82</v>
      </c>
      <c r="E30">
        <v>81.25</v>
      </c>
      <c r="F30" t="s">
        <v>812</v>
      </c>
      <c r="G30" s="1">
        <v>0.26889999999999997</v>
      </c>
    </row>
    <row r="31" spans="1:7" x14ac:dyDescent="0.5">
      <c r="A31" t="s">
        <v>35</v>
      </c>
      <c r="B31">
        <v>86.4</v>
      </c>
      <c r="C31">
        <v>90.3</v>
      </c>
      <c r="D31">
        <v>92.22</v>
      </c>
      <c r="E31">
        <v>75.61</v>
      </c>
      <c r="F31" t="s">
        <v>813</v>
      </c>
      <c r="G31" s="1">
        <v>-4.3799999999999999E-2</v>
      </c>
    </row>
    <row r="32" spans="1:7" x14ac:dyDescent="0.5">
      <c r="A32" t="s">
        <v>37</v>
      </c>
      <c r="B32">
        <v>90.36</v>
      </c>
      <c r="C32">
        <v>80</v>
      </c>
      <c r="D32">
        <v>97.4</v>
      </c>
      <c r="E32">
        <v>79.44</v>
      </c>
      <c r="F32" t="s">
        <v>814</v>
      </c>
      <c r="G32" s="1">
        <v>0.1421</v>
      </c>
    </row>
    <row r="33" spans="1:7" x14ac:dyDescent="0.5">
      <c r="A33" t="s">
        <v>39</v>
      </c>
      <c r="B33">
        <v>79.11</v>
      </c>
      <c r="C33">
        <v>62.1</v>
      </c>
      <c r="D33">
        <v>82.39</v>
      </c>
      <c r="E33">
        <v>61.65</v>
      </c>
      <c r="F33" t="s">
        <v>815</v>
      </c>
      <c r="G33" s="1">
        <v>0.2858</v>
      </c>
    </row>
    <row r="34" spans="1:7" x14ac:dyDescent="0.5">
      <c r="A34" t="s">
        <v>41</v>
      </c>
      <c r="B34">
        <v>61.53</v>
      </c>
      <c r="C34">
        <v>49.24</v>
      </c>
      <c r="D34">
        <v>63.49</v>
      </c>
      <c r="E34">
        <v>47.32</v>
      </c>
      <c r="F34" t="s">
        <v>816</v>
      </c>
      <c r="G34" s="1">
        <v>0.2424</v>
      </c>
    </row>
    <row r="35" spans="1:7" x14ac:dyDescent="0.5">
      <c r="A35" t="s">
        <v>43</v>
      </c>
      <c r="B35">
        <v>49.52</v>
      </c>
      <c r="C35">
        <v>46.53</v>
      </c>
      <c r="D35">
        <v>50.43</v>
      </c>
      <c r="E35">
        <v>45.01</v>
      </c>
      <c r="F35" t="s">
        <v>817</v>
      </c>
      <c r="G35" s="1">
        <v>5.8799999999999998E-2</v>
      </c>
    </row>
    <row r="36" spans="1:7" x14ac:dyDescent="0.5">
      <c r="A36" t="s">
        <v>45</v>
      </c>
      <c r="B36">
        <v>46.77</v>
      </c>
      <c r="C36">
        <v>40.880000000000003</v>
      </c>
      <c r="D36">
        <v>50.55</v>
      </c>
      <c r="E36">
        <v>40.869999999999997</v>
      </c>
      <c r="F36" t="s">
        <v>818</v>
      </c>
      <c r="G36" s="1">
        <v>0.1469</v>
      </c>
    </row>
    <row r="37" spans="1:7" x14ac:dyDescent="0.5">
      <c r="A37" t="s">
        <v>47</v>
      </c>
      <c r="B37">
        <v>40.78</v>
      </c>
      <c r="C37">
        <v>44.03</v>
      </c>
      <c r="D37">
        <v>47.61</v>
      </c>
      <c r="E37">
        <v>39.229999999999997</v>
      </c>
      <c r="F37" t="s">
        <v>819</v>
      </c>
      <c r="G37" s="1">
        <v>-6.25E-2</v>
      </c>
    </row>
    <row r="38" spans="1:7" x14ac:dyDescent="0.5">
      <c r="A38" t="s">
        <v>49</v>
      </c>
      <c r="B38">
        <v>43.5</v>
      </c>
      <c r="C38">
        <v>49.76</v>
      </c>
      <c r="D38">
        <v>49.8</v>
      </c>
      <c r="E38">
        <v>40.98</v>
      </c>
      <c r="F38" t="s">
        <v>820</v>
      </c>
      <c r="G38" s="1">
        <v>-0.1187</v>
      </c>
    </row>
    <row r="39" spans="1:7" x14ac:dyDescent="0.5">
      <c r="A39" t="s">
        <v>51</v>
      </c>
      <c r="B39">
        <v>49.35</v>
      </c>
      <c r="C39">
        <v>46.46</v>
      </c>
      <c r="D39">
        <v>50.27</v>
      </c>
      <c r="E39">
        <v>40.31</v>
      </c>
      <c r="F39" t="s">
        <v>821</v>
      </c>
      <c r="G39" s="1">
        <v>5.62E-2</v>
      </c>
    </row>
    <row r="40" spans="1:7" x14ac:dyDescent="0.5">
      <c r="A40" t="s">
        <v>53</v>
      </c>
      <c r="B40">
        <v>46.73</v>
      </c>
      <c r="C40">
        <v>42.52</v>
      </c>
      <c r="D40">
        <v>48.09</v>
      </c>
      <c r="E40">
        <v>41.35</v>
      </c>
      <c r="F40" t="s">
        <v>822</v>
      </c>
      <c r="G40" s="1">
        <v>0.1047</v>
      </c>
    </row>
    <row r="41" spans="1:7" x14ac:dyDescent="0.5">
      <c r="A41" t="s">
        <v>55</v>
      </c>
      <c r="B41">
        <v>42.3</v>
      </c>
      <c r="C41">
        <v>38.49</v>
      </c>
      <c r="D41">
        <v>43.99</v>
      </c>
      <c r="E41">
        <v>37.36</v>
      </c>
      <c r="F41" t="s">
        <v>823</v>
      </c>
      <c r="G41" s="1">
        <v>0.1181</v>
      </c>
    </row>
    <row r="42" spans="1:7" x14ac:dyDescent="0.5">
      <c r="A42" t="s">
        <v>57</v>
      </c>
      <c r="B42">
        <v>37.83</v>
      </c>
      <c r="C42">
        <v>27.84</v>
      </c>
      <c r="D42">
        <v>41.94</v>
      </c>
      <c r="E42">
        <v>27.24</v>
      </c>
      <c r="F42" t="s">
        <v>824</v>
      </c>
      <c r="G42" s="1">
        <v>0.3634</v>
      </c>
    </row>
    <row r="43" spans="1:7" x14ac:dyDescent="0.5">
      <c r="A43" t="s">
        <v>59</v>
      </c>
      <c r="B43">
        <v>27.75</v>
      </c>
      <c r="C43">
        <v>27.51</v>
      </c>
      <c r="D43">
        <v>28.11</v>
      </c>
      <c r="E43">
        <v>26.22</v>
      </c>
      <c r="F43" t="s">
        <v>811</v>
      </c>
      <c r="G43" s="1">
        <v>-1E-3</v>
      </c>
    </row>
    <row r="44" spans="1:7" x14ac:dyDescent="0.5">
      <c r="A44" t="s">
        <v>61</v>
      </c>
      <c r="B44">
        <v>27.78</v>
      </c>
      <c r="C44">
        <v>23.19</v>
      </c>
      <c r="D44">
        <v>27.83</v>
      </c>
      <c r="E44">
        <v>22.3</v>
      </c>
      <c r="F44" t="s">
        <v>825</v>
      </c>
      <c r="G44" s="1">
        <v>0.19650000000000001</v>
      </c>
    </row>
    <row r="45" spans="1:7" x14ac:dyDescent="0.5">
      <c r="A45" t="s">
        <v>62</v>
      </c>
      <c r="B45">
        <v>23.22</v>
      </c>
      <c r="C45">
        <v>19.690000000000001</v>
      </c>
      <c r="D45">
        <v>23.89</v>
      </c>
      <c r="E45">
        <v>19.61</v>
      </c>
      <c r="F45" t="s">
        <v>826</v>
      </c>
      <c r="G45" s="1">
        <v>0.1883</v>
      </c>
    </row>
    <row r="46" spans="1:7" x14ac:dyDescent="0.5">
      <c r="A46" t="s">
        <v>64</v>
      </c>
      <c r="B46">
        <v>19.54</v>
      </c>
      <c r="C46">
        <v>14.85</v>
      </c>
      <c r="D46">
        <v>20.63</v>
      </c>
      <c r="E46">
        <v>14.03</v>
      </c>
      <c r="F46" t="s">
        <v>434</v>
      </c>
      <c r="G46" s="1">
        <v>0.33689999999999998</v>
      </c>
    </row>
    <row r="47" spans="1:7" x14ac:dyDescent="0.5">
      <c r="A47" t="s">
        <v>66</v>
      </c>
      <c r="B47">
        <v>14.61</v>
      </c>
      <c r="C47">
        <v>17</v>
      </c>
      <c r="D47">
        <v>18.79</v>
      </c>
      <c r="E47">
        <v>13.88</v>
      </c>
      <c r="F47" t="s">
        <v>827</v>
      </c>
      <c r="G47" s="1">
        <v>-0.13639999999999999</v>
      </c>
    </row>
    <row r="48" spans="1:7" x14ac:dyDescent="0.5">
      <c r="A48" t="s">
        <v>68</v>
      </c>
      <c r="B48">
        <v>16.920000000000002</v>
      </c>
      <c r="C48">
        <v>13.81</v>
      </c>
      <c r="D48">
        <v>17</v>
      </c>
      <c r="E48">
        <v>12.96</v>
      </c>
      <c r="F48" t="s">
        <v>828</v>
      </c>
      <c r="G48" s="1">
        <v>0.25380000000000003</v>
      </c>
    </row>
    <row r="49" spans="1:7" x14ac:dyDescent="0.5">
      <c r="A49" t="s">
        <v>70</v>
      </c>
      <c r="B49">
        <v>13.5</v>
      </c>
      <c r="C49">
        <v>12.35</v>
      </c>
      <c r="D49">
        <v>13.85</v>
      </c>
      <c r="E49">
        <v>10.81</v>
      </c>
      <c r="F49" t="s">
        <v>829</v>
      </c>
      <c r="G49" s="1">
        <v>0.1119</v>
      </c>
    </row>
    <row r="50" spans="1:7" x14ac:dyDescent="0.5">
      <c r="A50" t="s">
        <v>72</v>
      </c>
      <c r="B50">
        <v>12.14</v>
      </c>
      <c r="C50">
        <v>14.21</v>
      </c>
      <c r="D50">
        <v>14.55</v>
      </c>
      <c r="E50">
        <v>11.95</v>
      </c>
      <c r="F50" t="s">
        <v>830</v>
      </c>
      <c r="G50" s="1">
        <v>-0.1958</v>
      </c>
    </row>
    <row r="51" spans="1:7" x14ac:dyDescent="0.5">
      <c r="A51" t="s">
        <v>74</v>
      </c>
      <c r="B51">
        <v>15.09</v>
      </c>
      <c r="C51">
        <v>18.18</v>
      </c>
      <c r="D51">
        <v>19.27</v>
      </c>
      <c r="E51">
        <v>14.96</v>
      </c>
      <c r="F51" t="s">
        <v>831</v>
      </c>
      <c r="G51" s="1">
        <v>-0.16900000000000001</v>
      </c>
    </row>
    <row r="52" spans="1:7" x14ac:dyDescent="0.5">
      <c r="A52" t="s">
        <v>76</v>
      </c>
      <c r="B52">
        <v>18.16</v>
      </c>
      <c r="C52">
        <v>14.9</v>
      </c>
      <c r="D52">
        <v>18.239999999999998</v>
      </c>
      <c r="E52">
        <v>14.06</v>
      </c>
      <c r="F52" t="s">
        <v>832</v>
      </c>
      <c r="G52" s="1">
        <v>0.19819999999999999</v>
      </c>
    </row>
    <row r="53" spans="1:7" x14ac:dyDescent="0.5">
      <c r="A53" t="s">
        <v>78</v>
      </c>
      <c r="B53">
        <v>15.16</v>
      </c>
      <c r="C53">
        <v>18.72</v>
      </c>
      <c r="D53">
        <v>19.62</v>
      </c>
      <c r="E53">
        <v>14.86</v>
      </c>
      <c r="F53" t="s">
        <v>833</v>
      </c>
      <c r="G53" s="1">
        <v>-0.18809999999999999</v>
      </c>
    </row>
    <row r="54" spans="1:7" x14ac:dyDescent="0.5">
      <c r="A54" t="s">
        <v>80</v>
      </c>
      <c r="B54">
        <v>18.670000000000002</v>
      </c>
      <c r="C54">
        <v>18.54</v>
      </c>
      <c r="D54">
        <v>20.399999999999999</v>
      </c>
      <c r="E54">
        <v>15.57</v>
      </c>
      <c r="F54" t="s">
        <v>834</v>
      </c>
      <c r="G54" s="1">
        <v>6.7000000000000002E-3</v>
      </c>
    </row>
    <row r="55" spans="1:7" x14ac:dyDescent="0.5">
      <c r="A55" t="s">
        <v>82</v>
      </c>
      <c r="B55">
        <v>18.55</v>
      </c>
      <c r="C55">
        <v>27.38</v>
      </c>
      <c r="D55">
        <v>27.56</v>
      </c>
      <c r="E55">
        <v>18.29</v>
      </c>
      <c r="F55" t="s">
        <v>445</v>
      </c>
      <c r="G55" s="1">
        <v>-0.32029999999999997</v>
      </c>
    </row>
    <row r="56" spans="1:7" x14ac:dyDescent="0.5">
      <c r="A56" t="s">
        <v>84</v>
      </c>
      <c r="B56">
        <v>27.29</v>
      </c>
      <c r="C56">
        <v>24.29</v>
      </c>
      <c r="D56">
        <v>28.95</v>
      </c>
      <c r="E56">
        <v>20.65</v>
      </c>
      <c r="F56" t="s">
        <v>835</v>
      </c>
      <c r="G56" s="1">
        <v>0.11899999999999999</v>
      </c>
    </row>
    <row r="57" spans="1:7" x14ac:dyDescent="0.5">
      <c r="A57" t="s">
        <v>86</v>
      </c>
      <c r="B57">
        <v>24.39</v>
      </c>
      <c r="C57">
        <v>25.1</v>
      </c>
      <c r="D57">
        <v>26.92</v>
      </c>
      <c r="E57">
        <v>20.89</v>
      </c>
      <c r="F57" t="s">
        <v>836</v>
      </c>
      <c r="G57" s="1">
        <v>-4.1000000000000003E-3</v>
      </c>
    </row>
    <row r="58" spans="1:7" x14ac:dyDescent="0.5">
      <c r="A58" t="s">
        <v>88</v>
      </c>
      <c r="B58">
        <v>24.49</v>
      </c>
      <c r="C58">
        <v>29.82</v>
      </c>
      <c r="D58">
        <v>30.71</v>
      </c>
      <c r="E58">
        <v>20.89</v>
      </c>
      <c r="F58" t="s">
        <v>837</v>
      </c>
      <c r="G58" s="1">
        <v>-0.16750000000000001</v>
      </c>
    </row>
    <row r="59" spans="1:7" x14ac:dyDescent="0.5">
      <c r="A59" t="s">
        <v>90</v>
      </c>
      <c r="B59">
        <v>29.41</v>
      </c>
      <c r="C59">
        <v>33.22</v>
      </c>
      <c r="D59">
        <v>33.29</v>
      </c>
      <c r="E59">
        <v>27.15</v>
      </c>
      <c r="F59" t="s">
        <v>838</v>
      </c>
      <c r="G59" s="1">
        <v>-9.9900000000000003E-2</v>
      </c>
    </row>
    <row r="60" spans="1:7" x14ac:dyDescent="0.5">
      <c r="A60" t="s">
        <v>92</v>
      </c>
      <c r="B60">
        <v>32.68</v>
      </c>
      <c r="C60">
        <v>25.65</v>
      </c>
      <c r="D60">
        <v>34.65</v>
      </c>
      <c r="E60">
        <v>25.23</v>
      </c>
      <c r="F60" t="s">
        <v>839</v>
      </c>
      <c r="G60" s="1">
        <v>0.27810000000000001</v>
      </c>
    </row>
    <row r="61" spans="1:7" x14ac:dyDescent="0.5">
      <c r="A61" t="s">
        <v>94</v>
      </c>
      <c r="B61">
        <v>25.57</v>
      </c>
      <c r="C61">
        <v>20.75</v>
      </c>
      <c r="D61">
        <v>25.71</v>
      </c>
      <c r="E61">
        <v>19.559999999999999</v>
      </c>
      <c r="F61" t="s">
        <v>840</v>
      </c>
      <c r="G61" s="1">
        <v>0.23419999999999999</v>
      </c>
    </row>
    <row r="62" spans="1:7" x14ac:dyDescent="0.5">
      <c r="A62" t="s">
        <v>96</v>
      </c>
      <c r="B62">
        <v>20.72</v>
      </c>
      <c r="C62">
        <v>22.49</v>
      </c>
      <c r="D62">
        <v>22.99</v>
      </c>
      <c r="E62">
        <v>20.47</v>
      </c>
      <c r="F62" t="s">
        <v>841</v>
      </c>
      <c r="G62" s="1">
        <v>-7.46E-2</v>
      </c>
    </row>
    <row r="63" spans="1:7" x14ac:dyDescent="0.5">
      <c r="A63" t="s">
        <v>98</v>
      </c>
      <c r="B63">
        <v>22.39</v>
      </c>
      <c r="C63">
        <v>19.7</v>
      </c>
      <c r="D63">
        <v>23.04</v>
      </c>
      <c r="E63">
        <v>18.760000000000002</v>
      </c>
      <c r="F63" t="s">
        <v>842</v>
      </c>
      <c r="G63" s="1">
        <v>0.14799999999999999</v>
      </c>
    </row>
    <row r="64" spans="1:7" x14ac:dyDescent="0.5">
      <c r="A64" t="s">
        <v>100</v>
      </c>
      <c r="B64">
        <v>19.5</v>
      </c>
      <c r="C64">
        <v>20.13</v>
      </c>
      <c r="D64">
        <v>20.88</v>
      </c>
      <c r="E64">
        <v>17.87</v>
      </c>
      <c r="F64" t="s">
        <v>843</v>
      </c>
      <c r="G64" s="1">
        <v>-2.52E-2</v>
      </c>
    </row>
    <row r="65" spans="1:7" x14ac:dyDescent="0.5">
      <c r="A65" t="s">
        <v>102</v>
      </c>
      <c r="B65">
        <v>20</v>
      </c>
      <c r="C65">
        <v>16.27</v>
      </c>
      <c r="D65">
        <v>20.16</v>
      </c>
      <c r="E65">
        <v>15.9</v>
      </c>
      <c r="F65" t="s">
        <v>844</v>
      </c>
      <c r="G65" s="1">
        <v>0.23130000000000001</v>
      </c>
    </row>
    <row r="66" spans="1:7" x14ac:dyDescent="0.5">
      <c r="A66" t="s">
        <v>104</v>
      </c>
      <c r="B66">
        <v>16.239999999999998</v>
      </c>
      <c r="C66">
        <v>15.13</v>
      </c>
      <c r="D66">
        <v>16.28</v>
      </c>
      <c r="E66">
        <v>13.46</v>
      </c>
      <c r="F66" t="s">
        <v>845</v>
      </c>
      <c r="G66" s="1">
        <v>8.2299999999999998E-2</v>
      </c>
    </row>
    <row r="67" spans="1:7" x14ac:dyDescent="0.5">
      <c r="A67" t="s">
        <v>106</v>
      </c>
      <c r="B67">
        <v>15.01</v>
      </c>
      <c r="C67">
        <v>13.57</v>
      </c>
      <c r="D67">
        <v>16.21</v>
      </c>
      <c r="E67">
        <v>13.51</v>
      </c>
      <c r="F67" t="s">
        <v>846</v>
      </c>
      <c r="G67" s="1">
        <v>0.1245</v>
      </c>
    </row>
    <row r="68" spans="1:7" x14ac:dyDescent="0.5">
      <c r="A68" t="s">
        <v>108</v>
      </c>
      <c r="B68">
        <v>13.35</v>
      </c>
      <c r="C68">
        <v>13.88</v>
      </c>
      <c r="D68">
        <v>13.93</v>
      </c>
      <c r="E68">
        <v>11.57</v>
      </c>
      <c r="F68" t="s">
        <v>847</v>
      </c>
      <c r="G68" s="1">
        <v>-2.6700000000000002E-2</v>
      </c>
    </row>
    <row r="69" spans="1:7" x14ac:dyDescent="0.5">
      <c r="A69" t="s">
        <v>110</v>
      </c>
      <c r="B69">
        <v>13.71</v>
      </c>
      <c r="C69">
        <v>13.05</v>
      </c>
      <c r="D69">
        <v>15.37</v>
      </c>
      <c r="E69">
        <v>12.9</v>
      </c>
      <c r="F69" t="s">
        <v>848</v>
      </c>
      <c r="G69" s="1">
        <v>5.5800000000000002E-2</v>
      </c>
    </row>
    <row r="70" spans="1:7" x14ac:dyDescent="0.5">
      <c r="A70" t="s">
        <v>112</v>
      </c>
      <c r="B70">
        <v>12.99</v>
      </c>
      <c r="C70">
        <v>13.1</v>
      </c>
      <c r="D70">
        <v>14</v>
      </c>
      <c r="E70">
        <v>12.59</v>
      </c>
      <c r="F70" t="s">
        <v>849</v>
      </c>
      <c r="G70" s="1">
        <v>-5.0000000000000001E-3</v>
      </c>
    </row>
    <row r="71" spans="1:7" x14ac:dyDescent="0.5">
      <c r="A71" t="s">
        <v>114</v>
      </c>
      <c r="B71">
        <v>13.06</v>
      </c>
      <c r="C71">
        <v>13.49</v>
      </c>
      <c r="D71">
        <v>13.73</v>
      </c>
      <c r="E71">
        <v>12.76</v>
      </c>
      <c r="F71" t="s">
        <v>850</v>
      </c>
      <c r="G71" s="1">
        <v>-2.5899999999999999E-2</v>
      </c>
    </row>
    <row r="72" spans="1:7" x14ac:dyDescent="0.5">
      <c r="A72" t="s">
        <v>116</v>
      </c>
      <c r="B72">
        <v>13.4</v>
      </c>
      <c r="C72">
        <v>12.66</v>
      </c>
      <c r="D72">
        <v>14.69</v>
      </c>
      <c r="E72">
        <v>12.4</v>
      </c>
      <c r="F72" t="s">
        <v>851</v>
      </c>
      <c r="G72" s="1">
        <v>6.9199999999999998E-2</v>
      </c>
    </row>
    <row r="73" spans="1:7" x14ac:dyDescent="0.5">
      <c r="A73" t="s">
        <v>118</v>
      </c>
      <c r="B73">
        <v>12.53</v>
      </c>
      <c r="C73">
        <v>13.76</v>
      </c>
      <c r="D73">
        <v>14.35</v>
      </c>
      <c r="E73">
        <v>12.3</v>
      </c>
      <c r="F73" t="s">
        <v>852</v>
      </c>
      <c r="G73" s="1">
        <v>-7.3599999999999999E-2</v>
      </c>
    </row>
    <row r="74" spans="1:7" x14ac:dyDescent="0.5">
      <c r="A74" t="s">
        <v>120</v>
      </c>
      <c r="B74">
        <v>13.53</v>
      </c>
      <c r="C74">
        <v>13.48</v>
      </c>
      <c r="D74">
        <v>14.73</v>
      </c>
      <c r="E74">
        <v>11.7</v>
      </c>
      <c r="F74" t="s">
        <v>853</v>
      </c>
      <c r="G74" s="1">
        <v>1.17E-2</v>
      </c>
    </row>
    <row r="75" spans="1:7" x14ac:dyDescent="0.5">
      <c r="A75" t="s">
        <v>122</v>
      </c>
      <c r="B75">
        <v>13.37</v>
      </c>
      <c r="C75">
        <v>10.73</v>
      </c>
      <c r="D75">
        <v>13.57</v>
      </c>
      <c r="E75">
        <v>10.72</v>
      </c>
      <c r="F75" t="s">
        <v>854</v>
      </c>
      <c r="G75" s="1">
        <v>0.26</v>
      </c>
    </row>
    <row r="76" spans="1:7" x14ac:dyDescent="0.5">
      <c r="A76" t="s">
        <v>124</v>
      </c>
      <c r="B76">
        <v>10.61</v>
      </c>
      <c r="C76">
        <v>9.52</v>
      </c>
      <c r="D76">
        <v>10.79</v>
      </c>
      <c r="E76">
        <v>9.41</v>
      </c>
      <c r="F76" t="s">
        <v>855</v>
      </c>
      <c r="G76" s="1">
        <v>0.1176</v>
      </c>
    </row>
    <row r="77" spans="1:7" x14ac:dyDescent="0.5">
      <c r="A77" t="s">
        <v>126</v>
      </c>
      <c r="B77">
        <v>9.5</v>
      </c>
      <c r="C77">
        <v>8.83</v>
      </c>
      <c r="D77">
        <v>9.64</v>
      </c>
      <c r="E77">
        <v>8.66</v>
      </c>
      <c r="F77" t="s">
        <v>856</v>
      </c>
      <c r="G77" s="1">
        <v>7.0099999999999996E-2</v>
      </c>
    </row>
    <row r="78" spans="1:7" x14ac:dyDescent="0.5">
      <c r="A78" t="s">
        <v>128</v>
      </c>
      <c r="B78">
        <v>8.8800000000000008</v>
      </c>
      <c r="C78">
        <v>7.11</v>
      </c>
      <c r="D78">
        <v>9.18</v>
      </c>
      <c r="E78">
        <v>7.02</v>
      </c>
      <c r="F78" t="s">
        <v>829</v>
      </c>
      <c r="G78" s="1">
        <v>0.2147</v>
      </c>
    </row>
    <row r="79" spans="1:7" x14ac:dyDescent="0.5">
      <c r="A79" t="s">
        <v>130</v>
      </c>
      <c r="B79">
        <v>7.31</v>
      </c>
      <c r="C79">
        <v>6.39</v>
      </c>
      <c r="D79">
        <v>7.61</v>
      </c>
      <c r="E79">
        <v>5.96</v>
      </c>
      <c r="F79" t="s">
        <v>857</v>
      </c>
      <c r="G79" s="1">
        <v>0.10879999999999999</v>
      </c>
    </row>
    <row r="80" spans="1:7" x14ac:dyDescent="0.5">
      <c r="A80" t="s">
        <v>132</v>
      </c>
      <c r="B80">
        <v>6.59</v>
      </c>
      <c r="C80">
        <v>6.92</v>
      </c>
      <c r="D80">
        <v>7.12</v>
      </c>
      <c r="E80">
        <v>4.5199999999999996</v>
      </c>
      <c r="F80" t="s">
        <v>858</v>
      </c>
      <c r="G80" s="1">
        <v>-2.4E-2</v>
      </c>
    </row>
    <row r="81" spans="1:7" x14ac:dyDescent="0.5">
      <c r="A81" t="s">
        <v>134</v>
      </c>
      <c r="B81">
        <v>6.75</v>
      </c>
      <c r="C81">
        <v>5.89</v>
      </c>
      <c r="D81">
        <v>7.91</v>
      </c>
      <c r="E81">
        <v>5.89</v>
      </c>
      <c r="F81" t="s">
        <v>859</v>
      </c>
      <c r="G81" s="1">
        <v>0.14230000000000001</v>
      </c>
    </row>
    <row r="82" spans="1:7" x14ac:dyDescent="0.5">
      <c r="A82" t="s">
        <v>136</v>
      </c>
      <c r="B82">
        <v>5.91</v>
      </c>
      <c r="C82">
        <v>5.97</v>
      </c>
      <c r="D82">
        <v>6.49</v>
      </c>
      <c r="E82">
        <v>5.78</v>
      </c>
      <c r="F82" t="s">
        <v>860</v>
      </c>
      <c r="G82" s="1">
        <v>4.7999999999999996E-3</v>
      </c>
    </row>
    <row r="83" spans="1:7" x14ac:dyDescent="0.5">
      <c r="A83" t="s">
        <v>138</v>
      </c>
      <c r="B83">
        <v>5.88</v>
      </c>
      <c r="C83">
        <v>5.41</v>
      </c>
      <c r="D83">
        <v>6.05</v>
      </c>
      <c r="E83">
        <v>5.01</v>
      </c>
      <c r="F83" t="s">
        <v>861</v>
      </c>
      <c r="G83" s="1">
        <v>8.5599999999999996E-2</v>
      </c>
    </row>
    <row r="84" spans="1:7" x14ac:dyDescent="0.5">
      <c r="A84" t="s">
        <v>140</v>
      </c>
      <c r="B84">
        <v>5.42</v>
      </c>
      <c r="C84">
        <v>4.99</v>
      </c>
      <c r="D84">
        <v>5.54</v>
      </c>
      <c r="E84">
        <v>4.96</v>
      </c>
      <c r="F84" t="s">
        <v>862</v>
      </c>
      <c r="G84" s="1">
        <v>7.8200000000000006E-2</v>
      </c>
    </row>
    <row r="85" spans="1:7" x14ac:dyDescent="0.5">
      <c r="A85" t="s">
        <v>142</v>
      </c>
      <c r="B85">
        <v>5.03</v>
      </c>
      <c r="C85">
        <v>4.38</v>
      </c>
      <c r="D85">
        <v>5.22</v>
      </c>
      <c r="E85">
        <v>4.25</v>
      </c>
      <c r="F85" t="s">
        <v>863</v>
      </c>
      <c r="G85" s="1">
        <v>0.15479999999999999</v>
      </c>
    </row>
    <row r="86" spans="1:7" x14ac:dyDescent="0.5">
      <c r="A86" t="s">
        <v>144</v>
      </c>
      <c r="B86">
        <v>4.3499999999999996</v>
      </c>
      <c r="C86">
        <v>4.1100000000000003</v>
      </c>
      <c r="D86">
        <v>4.71</v>
      </c>
      <c r="E86">
        <v>4.08</v>
      </c>
      <c r="F86" t="s">
        <v>810</v>
      </c>
      <c r="G86" s="1">
        <v>3.9199999999999999E-2</v>
      </c>
    </row>
    <row r="87" spans="1:7" x14ac:dyDescent="0.5">
      <c r="A87" t="s">
        <v>146</v>
      </c>
      <c r="B87">
        <v>4.1900000000000004</v>
      </c>
      <c r="C87">
        <v>4.2300000000000004</v>
      </c>
      <c r="D87">
        <v>4.34</v>
      </c>
      <c r="E87">
        <v>3.68</v>
      </c>
      <c r="F87" t="s">
        <v>864</v>
      </c>
      <c r="G87" s="1">
        <v>-7.1999999999999998E-3</v>
      </c>
    </row>
    <row r="88" spans="1:7" x14ac:dyDescent="0.5">
      <c r="A88" t="s">
        <v>148</v>
      </c>
      <c r="B88">
        <v>4.22</v>
      </c>
      <c r="C88">
        <v>4.3099999999999996</v>
      </c>
      <c r="D88">
        <v>4.47</v>
      </c>
      <c r="E88">
        <v>3.88</v>
      </c>
      <c r="F88" t="s">
        <v>865</v>
      </c>
      <c r="G88" s="1">
        <v>2.7300000000000001E-2</v>
      </c>
    </row>
    <row r="89" spans="1:7" x14ac:dyDescent="0.5">
      <c r="A89" t="s">
        <v>150</v>
      </c>
      <c r="B89">
        <v>4.1100000000000003</v>
      </c>
      <c r="C89">
        <v>3.4</v>
      </c>
      <c r="D89">
        <v>4.13</v>
      </c>
      <c r="E89">
        <v>3.32</v>
      </c>
      <c r="F89" t="s">
        <v>866</v>
      </c>
      <c r="G89" s="1">
        <v>0.21240000000000001</v>
      </c>
    </row>
    <row r="90" spans="1:7" x14ac:dyDescent="0.5">
      <c r="A90" t="s">
        <v>152</v>
      </c>
      <c r="B90">
        <v>3.39</v>
      </c>
      <c r="C90">
        <v>4.58</v>
      </c>
      <c r="D90">
        <v>4.62</v>
      </c>
      <c r="E90">
        <v>3.38</v>
      </c>
      <c r="F90" t="s">
        <v>867</v>
      </c>
      <c r="G90" s="1">
        <v>-0.25159999999999999</v>
      </c>
    </row>
    <row r="91" spans="1:7" x14ac:dyDescent="0.5">
      <c r="A91" t="s">
        <v>154</v>
      </c>
      <c r="B91">
        <v>4.53</v>
      </c>
      <c r="C91">
        <v>4.58</v>
      </c>
      <c r="D91">
        <v>4.84</v>
      </c>
      <c r="E91">
        <v>4.33</v>
      </c>
      <c r="F91" t="s">
        <v>868</v>
      </c>
      <c r="G91" s="1">
        <v>8.0000000000000002E-3</v>
      </c>
    </row>
    <row r="92" spans="1:7" x14ac:dyDescent="0.5">
      <c r="A92" t="s">
        <v>156</v>
      </c>
      <c r="B92">
        <v>4.49</v>
      </c>
      <c r="C92">
        <v>3.91</v>
      </c>
      <c r="D92">
        <v>4.63</v>
      </c>
      <c r="E92">
        <v>3.62</v>
      </c>
      <c r="F92" t="s">
        <v>831</v>
      </c>
      <c r="G92" s="1">
        <v>0.16400000000000001</v>
      </c>
    </row>
    <row r="93" spans="1:7" x14ac:dyDescent="0.5">
      <c r="A93" t="s">
        <v>158</v>
      </c>
      <c r="B93">
        <v>3.86</v>
      </c>
      <c r="C93">
        <v>3.61</v>
      </c>
      <c r="D93">
        <v>4.13</v>
      </c>
      <c r="E93">
        <v>3.56</v>
      </c>
      <c r="F93" t="s">
        <v>869</v>
      </c>
      <c r="G93" s="1">
        <v>7.3099999999999998E-2</v>
      </c>
    </row>
    <row r="94" spans="1:7" x14ac:dyDescent="0.5">
      <c r="A94" t="s">
        <v>160</v>
      </c>
      <c r="B94">
        <v>3.59</v>
      </c>
      <c r="C94">
        <v>3.27</v>
      </c>
      <c r="D94">
        <v>4.0199999999999996</v>
      </c>
      <c r="E94">
        <v>3.19</v>
      </c>
      <c r="F94" t="s">
        <v>870</v>
      </c>
      <c r="G94" s="1">
        <v>7.6799999999999993E-2</v>
      </c>
    </row>
    <row r="95" spans="1:7" x14ac:dyDescent="0.5">
      <c r="A95" t="s">
        <v>162</v>
      </c>
      <c r="B95">
        <v>3.34</v>
      </c>
      <c r="C95">
        <v>4.32</v>
      </c>
      <c r="D95">
        <v>4.37</v>
      </c>
      <c r="E95">
        <v>3.11</v>
      </c>
      <c r="F95" t="s">
        <v>871</v>
      </c>
      <c r="G95" s="1">
        <v>-0.18310000000000001</v>
      </c>
    </row>
    <row r="96" spans="1:7" x14ac:dyDescent="0.5">
      <c r="A96" t="s">
        <v>164</v>
      </c>
      <c r="B96">
        <v>4.09</v>
      </c>
      <c r="C96">
        <v>5.31</v>
      </c>
      <c r="D96">
        <v>5.55</v>
      </c>
      <c r="E96">
        <v>3.33</v>
      </c>
      <c r="F96" t="s">
        <v>872</v>
      </c>
      <c r="G96" s="1">
        <v>-0.2248</v>
      </c>
    </row>
    <row r="97" spans="1:7" x14ac:dyDescent="0.5">
      <c r="A97" t="s">
        <v>166</v>
      </c>
      <c r="B97">
        <v>5.27</v>
      </c>
      <c r="C97">
        <v>7.1</v>
      </c>
      <c r="D97">
        <v>7.32</v>
      </c>
      <c r="E97">
        <v>4.4000000000000004</v>
      </c>
      <c r="F97" t="s">
        <v>873</v>
      </c>
      <c r="G97" s="1">
        <v>-0.24979999999999999</v>
      </c>
    </row>
    <row r="98" spans="1:7" x14ac:dyDescent="0.5">
      <c r="A98" t="s">
        <v>168</v>
      </c>
      <c r="B98">
        <v>7.03</v>
      </c>
      <c r="C98">
        <v>7</v>
      </c>
      <c r="D98">
        <v>7.13</v>
      </c>
      <c r="E98">
        <v>6.47</v>
      </c>
      <c r="F98" t="s">
        <v>874</v>
      </c>
      <c r="G98" s="1">
        <v>1.1999999999999999E-3</v>
      </c>
    </row>
    <row r="99" spans="1:7" x14ac:dyDescent="0.5">
      <c r="A99" t="s">
        <v>170</v>
      </c>
      <c r="B99">
        <v>7.02</v>
      </c>
      <c r="C99">
        <v>6.15</v>
      </c>
      <c r="D99">
        <v>7.04</v>
      </c>
      <c r="E99">
        <v>5.97</v>
      </c>
      <c r="F99" t="s">
        <v>875</v>
      </c>
      <c r="G99" s="1">
        <v>0.14630000000000001</v>
      </c>
    </row>
    <row r="100" spans="1:7" x14ac:dyDescent="0.5">
      <c r="A100" t="s">
        <v>172</v>
      </c>
      <c r="B100">
        <v>6.12</v>
      </c>
      <c r="C100">
        <v>5.85</v>
      </c>
      <c r="D100">
        <v>6.41</v>
      </c>
      <c r="E100">
        <v>5.83</v>
      </c>
      <c r="F100" t="s">
        <v>876</v>
      </c>
      <c r="G100" s="1">
        <v>3.3599999999999998E-2</v>
      </c>
    </row>
    <row r="101" spans="1:7" x14ac:dyDescent="0.5">
      <c r="A101" t="s">
        <v>174</v>
      </c>
      <c r="B101">
        <v>5.92</v>
      </c>
      <c r="C101">
        <v>6.35</v>
      </c>
      <c r="D101">
        <v>6.73</v>
      </c>
      <c r="E101">
        <v>5.88</v>
      </c>
      <c r="F101" t="s">
        <v>877</v>
      </c>
      <c r="G101" s="1">
        <v>-6.0600000000000001E-2</v>
      </c>
    </row>
    <row r="102" spans="1:7" x14ac:dyDescent="0.5">
      <c r="A102" t="s">
        <v>176</v>
      </c>
      <c r="B102">
        <v>6.3</v>
      </c>
      <c r="C102">
        <v>5.61</v>
      </c>
      <c r="D102">
        <v>6.51</v>
      </c>
      <c r="E102">
        <v>5.55</v>
      </c>
      <c r="F102" t="s">
        <v>878</v>
      </c>
      <c r="G102" s="1">
        <v>0.12130000000000001</v>
      </c>
    </row>
    <row r="103" spans="1:7" x14ac:dyDescent="0.5">
      <c r="A103" t="s">
        <v>178</v>
      </c>
      <c r="B103">
        <v>5.62</v>
      </c>
      <c r="C103">
        <v>5.72</v>
      </c>
      <c r="D103">
        <v>5.98</v>
      </c>
      <c r="E103">
        <v>5.26</v>
      </c>
      <c r="F103" t="s">
        <v>879</v>
      </c>
      <c r="G103" s="1">
        <v>-2.8899999999999999E-2</v>
      </c>
    </row>
    <row r="104" spans="1:7" x14ac:dyDescent="0.5">
      <c r="A104" t="s">
        <v>180</v>
      </c>
      <c r="B104">
        <v>5.79</v>
      </c>
      <c r="C104">
        <v>6.05</v>
      </c>
      <c r="D104">
        <v>6.36</v>
      </c>
      <c r="E104">
        <v>5.43</v>
      </c>
      <c r="F104" t="s">
        <v>880</v>
      </c>
      <c r="G104" s="1">
        <v>-4.2999999999999997E-2</v>
      </c>
    </row>
    <row r="105" spans="1:7" x14ac:dyDescent="0.5">
      <c r="A105" t="s">
        <v>182</v>
      </c>
      <c r="B105">
        <v>6.05</v>
      </c>
      <c r="C105">
        <v>5.96</v>
      </c>
      <c r="D105">
        <v>6.3</v>
      </c>
      <c r="E105">
        <v>5.0999999999999996</v>
      </c>
      <c r="F105" t="s">
        <v>881</v>
      </c>
      <c r="G105" s="1">
        <v>-1.55E-2</v>
      </c>
    </row>
    <row r="106" spans="1:7" x14ac:dyDescent="0.5">
      <c r="A106" t="s">
        <v>184</v>
      </c>
      <c r="B106">
        <v>6.14</v>
      </c>
      <c r="C106">
        <v>4.8899999999999997</v>
      </c>
      <c r="D106">
        <v>6.23</v>
      </c>
      <c r="E106">
        <v>4.8600000000000003</v>
      </c>
      <c r="F106" t="s">
        <v>882</v>
      </c>
      <c r="G106" s="1">
        <v>0.27029999999999998</v>
      </c>
    </row>
    <row r="107" spans="1:7" x14ac:dyDescent="0.5">
      <c r="A107" t="s">
        <v>186</v>
      </c>
      <c r="B107">
        <v>4.84</v>
      </c>
      <c r="C107">
        <v>4.9800000000000004</v>
      </c>
      <c r="D107">
        <v>5.01</v>
      </c>
      <c r="E107">
        <v>4.51</v>
      </c>
      <c r="F107" t="s">
        <v>883</v>
      </c>
      <c r="G107" s="1">
        <v>-3.5900000000000001E-2</v>
      </c>
    </row>
    <row r="108" spans="1:7" x14ac:dyDescent="0.5">
      <c r="A108" t="s">
        <v>188</v>
      </c>
      <c r="B108">
        <v>5.0199999999999996</v>
      </c>
      <c r="C108">
        <v>5.23</v>
      </c>
      <c r="D108">
        <v>5.47</v>
      </c>
      <c r="E108">
        <v>4.78</v>
      </c>
      <c r="F108" t="s">
        <v>884</v>
      </c>
      <c r="G108" s="1">
        <v>-2.9499999999999998E-2</v>
      </c>
    </row>
    <row r="109" spans="1:7" x14ac:dyDescent="0.5">
      <c r="A109" t="s">
        <v>190</v>
      </c>
      <c r="B109">
        <v>5.17</v>
      </c>
      <c r="C109">
        <v>4.5199999999999996</v>
      </c>
      <c r="D109">
        <v>5.2</v>
      </c>
      <c r="E109">
        <v>4.43</v>
      </c>
      <c r="F109" t="s">
        <v>885</v>
      </c>
      <c r="G109" s="1">
        <v>0.15679999999999999</v>
      </c>
    </row>
    <row r="110" spans="1:7" x14ac:dyDescent="0.5">
      <c r="A110" t="s">
        <v>192</v>
      </c>
      <c r="B110">
        <v>4.47</v>
      </c>
      <c r="C110">
        <v>4.25</v>
      </c>
      <c r="D110">
        <v>4.78</v>
      </c>
      <c r="E110">
        <v>4.07</v>
      </c>
      <c r="F110" t="s">
        <v>886</v>
      </c>
      <c r="G110" s="1">
        <v>5.5100000000000003E-2</v>
      </c>
    </row>
    <row r="111" spans="1:7" x14ac:dyDescent="0.5">
      <c r="A111" t="s">
        <v>194</v>
      </c>
      <c r="B111">
        <v>4.24</v>
      </c>
      <c r="C111">
        <v>4.05</v>
      </c>
      <c r="D111">
        <v>4.3600000000000003</v>
      </c>
      <c r="E111">
        <v>3.82</v>
      </c>
      <c r="F111" t="s">
        <v>887</v>
      </c>
      <c r="G111" s="1">
        <v>4.2599999999999999E-2</v>
      </c>
    </row>
    <row r="112" spans="1:7" x14ac:dyDescent="0.5">
      <c r="A112" t="s">
        <v>196</v>
      </c>
      <c r="B112">
        <v>4.0599999999999996</v>
      </c>
      <c r="C112">
        <v>3.63</v>
      </c>
      <c r="D112">
        <v>4.25</v>
      </c>
      <c r="E112">
        <v>3.46</v>
      </c>
      <c r="F112" t="s">
        <v>888</v>
      </c>
      <c r="G112" s="1">
        <v>0.1242</v>
      </c>
    </row>
    <row r="113" spans="1:7" x14ac:dyDescent="0.5">
      <c r="A113" t="s">
        <v>198</v>
      </c>
      <c r="B113">
        <v>3.61</v>
      </c>
      <c r="C113">
        <v>3.62</v>
      </c>
      <c r="D113">
        <v>4.21</v>
      </c>
      <c r="E113">
        <v>3.55</v>
      </c>
      <c r="F113" t="s">
        <v>889</v>
      </c>
      <c r="G113" s="1">
        <v>1.5E-3</v>
      </c>
    </row>
    <row r="114" spans="1:7" x14ac:dyDescent="0.5">
      <c r="A114" t="s">
        <v>200</v>
      </c>
      <c r="B114">
        <v>3.61</v>
      </c>
      <c r="C114">
        <v>2.62</v>
      </c>
      <c r="D114">
        <v>3.67</v>
      </c>
      <c r="E114">
        <v>2.56</v>
      </c>
      <c r="F114" t="s">
        <v>890</v>
      </c>
      <c r="G114" s="1">
        <v>0.38400000000000001</v>
      </c>
    </row>
    <row r="115" spans="1:7" x14ac:dyDescent="0.5">
      <c r="A115" t="s">
        <v>202</v>
      </c>
      <c r="B115">
        <v>2.61</v>
      </c>
      <c r="C115">
        <v>2.72</v>
      </c>
      <c r="D115">
        <v>2.74</v>
      </c>
      <c r="E115">
        <v>2.39</v>
      </c>
      <c r="F115" t="s">
        <v>891</v>
      </c>
      <c r="G115" s="1">
        <v>-4.2500000000000003E-2</v>
      </c>
    </row>
    <row r="116" spans="1:7" x14ac:dyDescent="0.5">
      <c r="A116" t="s">
        <v>204</v>
      </c>
      <c r="B116">
        <v>2.72</v>
      </c>
      <c r="C116">
        <v>2.59</v>
      </c>
      <c r="D116">
        <v>2.75</v>
      </c>
      <c r="E116">
        <v>2.38</v>
      </c>
      <c r="F116" t="s">
        <v>892</v>
      </c>
      <c r="G116" s="1">
        <v>7.3400000000000007E-2</v>
      </c>
    </row>
    <row r="117" spans="1:7" x14ac:dyDescent="0.5">
      <c r="A117" t="s">
        <v>206</v>
      </c>
      <c r="B117">
        <v>2.54</v>
      </c>
      <c r="C117">
        <v>2.76</v>
      </c>
      <c r="D117">
        <v>3.02</v>
      </c>
      <c r="E117">
        <v>2.39</v>
      </c>
      <c r="F117" t="s">
        <v>893</v>
      </c>
      <c r="G117" s="1">
        <v>-7.0499999999999993E-2</v>
      </c>
    </row>
    <row r="118" spans="1:7" x14ac:dyDescent="0.5">
      <c r="A118" t="s">
        <v>208</v>
      </c>
      <c r="B118">
        <v>2.73</v>
      </c>
      <c r="C118">
        <v>2.61</v>
      </c>
      <c r="D118">
        <v>2.8</v>
      </c>
      <c r="E118">
        <v>2.48</v>
      </c>
      <c r="F118" t="s">
        <v>894</v>
      </c>
      <c r="G118" s="1">
        <v>2.29E-2</v>
      </c>
    </row>
    <row r="119" spans="1:7" x14ac:dyDescent="0.5">
      <c r="A119" t="s">
        <v>210</v>
      </c>
      <c r="B119">
        <v>2.67</v>
      </c>
      <c r="C119">
        <v>2.2999999999999998</v>
      </c>
      <c r="D119">
        <v>3</v>
      </c>
      <c r="E119">
        <v>2.12</v>
      </c>
      <c r="F119" t="s">
        <v>895</v>
      </c>
      <c r="G119" s="1">
        <v>0.15770000000000001</v>
      </c>
    </row>
    <row r="120" spans="1:7" x14ac:dyDescent="0.5">
      <c r="A120" t="s">
        <v>212</v>
      </c>
      <c r="B120">
        <v>2.31</v>
      </c>
      <c r="C120">
        <v>1.79</v>
      </c>
      <c r="D120">
        <v>2.38</v>
      </c>
      <c r="E120">
        <v>1.66</v>
      </c>
      <c r="F120" t="s">
        <v>896</v>
      </c>
      <c r="G120" s="1">
        <v>0.29570000000000002</v>
      </c>
    </row>
    <row r="121" spans="1:7" x14ac:dyDescent="0.5">
      <c r="A121" t="s">
        <v>214</v>
      </c>
      <c r="B121">
        <v>1.78</v>
      </c>
      <c r="C121">
        <v>1.71</v>
      </c>
      <c r="D121">
        <v>1.82</v>
      </c>
      <c r="E121">
        <v>1.59</v>
      </c>
      <c r="F121" t="s">
        <v>897</v>
      </c>
      <c r="G121" s="1">
        <v>3.85E-2</v>
      </c>
    </row>
    <row r="122" spans="1:7" x14ac:dyDescent="0.5">
      <c r="A122" t="s">
        <v>216</v>
      </c>
      <c r="B122">
        <v>1.71</v>
      </c>
      <c r="C122">
        <v>1.53</v>
      </c>
      <c r="D122">
        <v>1.73</v>
      </c>
      <c r="E122">
        <v>1.43</v>
      </c>
      <c r="F122" t="s">
        <v>898</v>
      </c>
      <c r="G122" s="1">
        <v>0.1171</v>
      </c>
    </row>
    <row r="123" spans="1:7" x14ac:dyDescent="0.5">
      <c r="A123" t="s">
        <v>218</v>
      </c>
      <c r="B123">
        <v>1.53</v>
      </c>
      <c r="C123">
        <v>1.43</v>
      </c>
      <c r="D123">
        <v>1.59</v>
      </c>
      <c r="E123">
        <v>1.39</v>
      </c>
      <c r="F123" t="s">
        <v>899</v>
      </c>
      <c r="G123" s="1">
        <v>7.4300000000000005E-2</v>
      </c>
    </row>
    <row r="124" spans="1:7" x14ac:dyDescent="0.5">
      <c r="A124" t="s">
        <v>220</v>
      </c>
      <c r="B124">
        <v>1.43</v>
      </c>
      <c r="C124">
        <v>1.17</v>
      </c>
      <c r="D124">
        <v>1.43</v>
      </c>
      <c r="E124">
        <v>1.1499999999999999</v>
      </c>
      <c r="F124" t="s">
        <v>900</v>
      </c>
      <c r="G124" s="1">
        <v>0.21460000000000001</v>
      </c>
    </row>
    <row r="125" spans="1:7" x14ac:dyDescent="0.5">
      <c r="A125" t="s">
        <v>222</v>
      </c>
      <c r="B125">
        <v>1.18</v>
      </c>
      <c r="C125">
        <v>1.1599999999999999</v>
      </c>
      <c r="D125">
        <v>1.21</v>
      </c>
      <c r="E125">
        <v>1.1100000000000001</v>
      </c>
      <c r="F125" t="s">
        <v>901</v>
      </c>
      <c r="G125" s="1">
        <v>6.1999999999999998E-3</v>
      </c>
    </row>
    <row r="126" spans="1:7" x14ac:dyDescent="0.5">
      <c r="A126" t="s">
        <v>224</v>
      </c>
      <c r="B126">
        <v>1.17</v>
      </c>
      <c r="C126">
        <v>0.9</v>
      </c>
      <c r="D126">
        <v>1.17</v>
      </c>
      <c r="E126">
        <v>0.86</v>
      </c>
      <c r="F126" t="s">
        <v>902</v>
      </c>
      <c r="G126" s="1">
        <v>0.31490000000000001</v>
      </c>
    </row>
    <row r="127" spans="1:7" x14ac:dyDescent="0.5">
      <c r="A127" t="s">
        <v>226</v>
      </c>
      <c r="B127">
        <v>0.89</v>
      </c>
      <c r="C127">
        <v>0.89</v>
      </c>
      <c r="D127">
        <v>0.94</v>
      </c>
      <c r="E127">
        <v>0.87</v>
      </c>
      <c r="F127" t="s">
        <v>903</v>
      </c>
      <c r="G127" s="1">
        <v>0</v>
      </c>
    </row>
    <row r="128" spans="1:7" x14ac:dyDescent="0.5">
      <c r="A128" t="s">
        <v>228</v>
      </c>
      <c r="B128">
        <v>0.89</v>
      </c>
      <c r="C128">
        <v>0.79</v>
      </c>
      <c r="D128">
        <v>0.91</v>
      </c>
      <c r="E128">
        <v>0.78</v>
      </c>
      <c r="F128" t="s">
        <v>904</v>
      </c>
      <c r="G128" s="1">
        <v>0.13619999999999999</v>
      </c>
    </row>
    <row r="129" spans="1:7" x14ac:dyDescent="0.5">
      <c r="A129" t="s">
        <v>230</v>
      </c>
      <c r="B129">
        <v>0.78</v>
      </c>
      <c r="C129">
        <v>0.73</v>
      </c>
      <c r="D129">
        <v>0.8</v>
      </c>
      <c r="E129">
        <v>0.62</v>
      </c>
      <c r="F129" t="s">
        <v>905</v>
      </c>
      <c r="G129" s="1">
        <v>7.0699999999999999E-2</v>
      </c>
    </row>
    <row r="130" spans="1:7" x14ac:dyDescent="0.5">
      <c r="A130" t="s">
        <v>232</v>
      </c>
      <c r="B130">
        <v>0.73</v>
      </c>
      <c r="C130">
        <v>0.81</v>
      </c>
      <c r="D130">
        <v>0.84</v>
      </c>
      <c r="E130">
        <v>0.66</v>
      </c>
      <c r="F130" t="s">
        <v>906</v>
      </c>
      <c r="G130" s="1">
        <v>-0.1113</v>
      </c>
    </row>
    <row r="131" spans="1:7" x14ac:dyDescent="0.5">
      <c r="A131" t="s">
        <v>234</v>
      </c>
      <c r="B131">
        <v>0.82</v>
      </c>
      <c r="C131">
        <v>0.8</v>
      </c>
      <c r="D131">
        <v>0.85</v>
      </c>
      <c r="E131">
        <v>0.8</v>
      </c>
      <c r="F131" t="s">
        <v>807</v>
      </c>
      <c r="G131" s="1">
        <v>3.9100000000000003E-2</v>
      </c>
    </row>
    <row r="132" spans="1:7" x14ac:dyDescent="0.5">
      <c r="A132" t="s">
        <v>236</v>
      </c>
      <c r="B132">
        <v>0.79</v>
      </c>
      <c r="C132">
        <v>0.71</v>
      </c>
      <c r="D132">
        <v>0.8</v>
      </c>
      <c r="E132">
        <v>0.69</v>
      </c>
      <c r="F132" t="s">
        <v>907</v>
      </c>
      <c r="G132" s="1">
        <v>0.1181</v>
      </c>
    </row>
    <row r="133" spans="1:7" x14ac:dyDescent="0.5">
      <c r="A133" t="s">
        <v>238</v>
      </c>
      <c r="B133">
        <v>0.71</v>
      </c>
      <c r="C133">
        <v>0.62</v>
      </c>
      <c r="D133">
        <v>0.72</v>
      </c>
      <c r="E133">
        <v>0.59</v>
      </c>
      <c r="F133" t="s">
        <v>908</v>
      </c>
      <c r="G133" s="1">
        <v>0.15090000000000001</v>
      </c>
    </row>
    <row r="134" spans="1:7" x14ac:dyDescent="0.5">
      <c r="A134" t="s">
        <v>240</v>
      </c>
      <c r="B134">
        <v>0.62</v>
      </c>
      <c r="C134">
        <v>0.55000000000000004</v>
      </c>
      <c r="D134">
        <v>0.62</v>
      </c>
      <c r="E134">
        <v>0.54</v>
      </c>
      <c r="F134" t="s">
        <v>909</v>
      </c>
      <c r="G134" s="1">
        <v>9.6500000000000002E-2</v>
      </c>
    </row>
    <row r="135" spans="1:7" x14ac:dyDescent="0.5">
      <c r="A135" t="s">
        <v>242</v>
      </c>
      <c r="B135">
        <v>0.56000000000000005</v>
      </c>
      <c r="C135">
        <v>0.5</v>
      </c>
      <c r="D135">
        <v>0.6</v>
      </c>
      <c r="E135">
        <v>0.5</v>
      </c>
      <c r="F135" t="s">
        <v>910</v>
      </c>
      <c r="G135" s="1">
        <v>0.1268</v>
      </c>
    </row>
    <row r="136" spans="1:7" x14ac:dyDescent="0.5">
      <c r="A136" t="s">
        <v>244</v>
      </c>
      <c r="B136">
        <v>0.5</v>
      </c>
      <c r="C136">
        <v>0.52</v>
      </c>
      <c r="D136">
        <v>0.52</v>
      </c>
      <c r="E136">
        <v>0.48</v>
      </c>
      <c r="F136" t="s">
        <v>911</v>
      </c>
      <c r="G136" s="1">
        <v>0</v>
      </c>
    </row>
    <row r="137" spans="1:7" x14ac:dyDescent="0.5">
      <c r="A137" t="s">
        <v>246</v>
      </c>
      <c r="B137">
        <v>0.5</v>
      </c>
      <c r="C137">
        <v>0.56000000000000005</v>
      </c>
      <c r="D137">
        <v>0.56999999999999995</v>
      </c>
      <c r="E137">
        <v>0.5</v>
      </c>
      <c r="F137" t="s">
        <v>912</v>
      </c>
      <c r="G137" s="1">
        <v>-9.1300000000000006E-2</v>
      </c>
    </row>
    <row r="138" spans="1:7" x14ac:dyDescent="0.5">
      <c r="A138" t="s">
        <v>248</v>
      </c>
      <c r="B138">
        <v>0.55000000000000004</v>
      </c>
      <c r="C138">
        <v>0.56000000000000005</v>
      </c>
      <c r="D138">
        <v>0.56999999999999995</v>
      </c>
      <c r="E138">
        <v>0.51</v>
      </c>
      <c r="F138" t="s">
        <v>913</v>
      </c>
      <c r="G138" s="1">
        <v>0</v>
      </c>
    </row>
    <row r="139" spans="1:7" x14ac:dyDescent="0.5">
      <c r="A139" t="s">
        <v>250</v>
      </c>
      <c r="B139">
        <v>0.55000000000000004</v>
      </c>
      <c r="C139">
        <v>0.53</v>
      </c>
      <c r="D139">
        <v>0.56999999999999995</v>
      </c>
      <c r="E139">
        <v>0.52</v>
      </c>
      <c r="F139" t="s">
        <v>914</v>
      </c>
      <c r="G139" s="1">
        <v>6.0699999999999997E-2</v>
      </c>
    </row>
    <row r="140" spans="1:7" x14ac:dyDescent="0.5">
      <c r="A140" t="s">
        <v>252</v>
      </c>
      <c r="B140">
        <v>0.52</v>
      </c>
      <c r="C140">
        <v>0.55000000000000004</v>
      </c>
      <c r="D140">
        <v>0.59</v>
      </c>
      <c r="E140">
        <v>0.51</v>
      </c>
      <c r="F140" t="s">
        <v>915</v>
      </c>
      <c r="G140" s="1">
        <v>-5.1499999999999997E-2</v>
      </c>
    </row>
    <row r="141" spans="1:7" x14ac:dyDescent="0.5">
      <c r="A141" t="s">
        <v>254</v>
      </c>
      <c r="B141">
        <v>0.55000000000000004</v>
      </c>
      <c r="C141">
        <v>0.48</v>
      </c>
      <c r="D141">
        <v>0.56000000000000005</v>
      </c>
      <c r="E141">
        <v>0.47</v>
      </c>
      <c r="F141" t="s">
        <v>916</v>
      </c>
      <c r="G141" s="1">
        <v>0.1487</v>
      </c>
    </row>
    <row r="142" spans="1:7" x14ac:dyDescent="0.5">
      <c r="A142" t="s">
        <v>256</v>
      </c>
      <c r="B142">
        <v>0.48</v>
      </c>
      <c r="C142">
        <v>0.5</v>
      </c>
      <c r="D142">
        <v>0.52</v>
      </c>
      <c r="E142">
        <v>0.48</v>
      </c>
      <c r="F142" t="s">
        <v>421</v>
      </c>
      <c r="G142" s="1">
        <v>-4.2099999999999999E-2</v>
      </c>
    </row>
    <row r="143" spans="1:7" x14ac:dyDescent="0.5">
      <c r="A143" t="s">
        <v>258</v>
      </c>
      <c r="B143">
        <v>0.5</v>
      </c>
      <c r="C143">
        <v>0.52</v>
      </c>
      <c r="D143">
        <v>0.53</v>
      </c>
      <c r="E143">
        <v>0.48</v>
      </c>
      <c r="F143" t="s">
        <v>917</v>
      </c>
      <c r="G143" s="1">
        <v>-4.3900000000000002E-2</v>
      </c>
    </row>
    <row r="144" spans="1:7" x14ac:dyDescent="0.5">
      <c r="A144" t="s">
        <v>260</v>
      </c>
      <c r="B144">
        <v>0.52</v>
      </c>
      <c r="C144">
        <v>0.5</v>
      </c>
      <c r="D144">
        <v>0.53</v>
      </c>
      <c r="E144">
        <v>0.48</v>
      </c>
      <c r="F144" t="s">
        <v>918</v>
      </c>
      <c r="G144" s="1">
        <v>7.3200000000000001E-2</v>
      </c>
    </row>
    <row r="145" spans="1:7" x14ac:dyDescent="0.5">
      <c r="A145" t="s">
        <v>262</v>
      </c>
      <c r="B145">
        <v>0.49</v>
      </c>
      <c r="C145">
        <v>0.46</v>
      </c>
      <c r="D145">
        <v>0.49</v>
      </c>
      <c r="E145">
        <v>0.42</v>
      </c>
      <c r="F145" t="s">
        <v>919</v>
      </c>
      <c r="G145" s="1">
        <v>5.91E-2</v>
      </c>
    </row>
    <row r="146" spans="1:7" x14ac:dyDescent="0.5">
      <c r="A146" t="s">
        <v>264</v>
      </c>
      <c r="B146">
        <v>0.46</v>
      </c>
      <c r="C146">
        <v>0.49</v>
      </c>
      <c r="D146">
        <v>0.5</v>
      </c>
      <c r="E146">
        <v>0.46</v>
      </c>
      <c r="F146" t="s">
        <v>920</v>
      </c>
      <c r="G146" s="1">
        <v>-5.1400000000000001E-2</v>
      </c>
    </row>
    <row r="147" spans="1:7" x14ac:dyDescent="0.5">
      <c r="A147" t="s">
        <v>266</v>
      </c>
      <c r="B147">
        <v>0.49</v>
      </c>
      <c r="C147">
        <v>0.44</v>
      </c>
      <c r="D147">
        <v>0.49</v>
      </c>
      <c r="E147">
        <v>0.43</v>
      </c>
      <c r="F147" t="s">
        <v>921</v>
      </c>
      <c r="G147" s="1">
        <v>0.1114</v>
      </c>
    </row>
    <row r="148" spans="1:7" x14ac:dyDescent="0.5">
      <c r="A148" t="s">
        <v>268</v>
      </c>
      <c r="B148">
        <v>0.44</v>
      </c>
      <c r="C148">
        <v>0.46</v>
      </c>
      <c r="D148">
        <v>0.49</v>
      </c>
      <c r="E148">
        <v>0.44</v>
      </c>
      <c r="F148" t="s">
        <v>808</v>
      </c>
      <c r="G148" s="1">
        <v>-5.6099999999999997E-2</v>
      </c>
    </row>
    <row r="149" spans="1:7" x14ac:dyDescent="0.5">
      <c r="A149" t="s">
        <v>270</v>
      </c>
      <c r="B149">
        <v>0.46</v>
      </c>
      <c r="C149">
        <v>0.48</v>
      </c>
      <c r="D149">
        <v>0.49</v>
      </c>
      <c r="E149">
        <v>0.46</v>
      </c>
      <c r="F149" t="s">
        <v>922</v>
      </c>
      <c r="G149" s="1">
        <v>-1.38E-2</v>
      </c>
    </row>
    <row r="150" spans="1:7" x14ac:dyDescent="0.5">
      <c r="A150" t="s">
        <v>272</v>
      </c>
      <c r="B150">
        <v>0.47</v>
      </c>
      <c r="C150">
        <v>0.47</v>
      </c>
      <c r="D150">
        <v>0.48</v>
      </c>
      <c r="E150">
        <v>0.44</v>
      </c>
      <c r="F150" t="s">
        <v>923</v>
      </c>
      <c r="G150" s="1">
        <v>2.1700000000000001E-2</v>
      </c>
    </row>
    <row r="151" spans="1:7" x14ac:dyDescent="0.5">
      <c r="A151" t="s">
        <v>274</v>
      </c>
      <c r="B151">
        <v>0.46</v>
      </c>
      <c r="C151">
        <v>0.46</v>
      </c>
      <c r="D151">
        <v>0.49</v>
      </c>
      <c r="E151">
        <v>0.45</v>
      </c>
      <c r="F151" t="s">
        <v>924</v>
      </c>
      <c r="G151" s="1">
        <v>2.2200000000000001E-2</v>
      </c>
    </row>
    <row r="152" spans="1:7" x14ac:dyDescent="0.5">
      <c r="A152" t="s">
        <v>276</v>
      </c>
      <c r="B152">
        <v>0.45</v>
      </c>
      <c r="C152">
        <v>0.45</v>
      </c>
      <c r="D152">
        <v>0.47</v>
      </c>
      <c r="E152">
        <v>0.44</v>
      </c>
      <c r="F152" t="s">
        <v>925</v>
      </c>
      <c r="G152" s="1">
        <v>-2.1700000000000001E-2</v>
      </c>
    </row>
    <row r="153" spans="1:7" x14ac:dyDescent="0.5">
      <c r="A153" t="s">
        <v>278</v>
      </c>
      <c r="B153">
        <v>0.46</v>
      </c>
      <c r="C153">
        <v>0.4</v>
      </c>
      <c r="D153">
        <v>0.48</v>
      </c>
      <c r="E153">
        <v>0.38</v>
      </c>
      <c r="F153" t="s">
        <v>926</v>
      </c>
      <c r="G153" s="1">
        <v>0.17949999999999999</v>
      </c>
    </row>
    <row r="154" spans="1:7" x14ac:dyDescent="0.5">
      <c r="A154" t="s">
        <v>280</v>
      </c>
      <c r="B154">
        <v>0.39</v>
      </c>
      <c r="C154">
        <v>0.4</v>
      </c>
      <c r="D154">
        <v>0.41</v>
      </c>
      <c r="E154">
        <v>0.38</v>
      </c>
      <c r="F154" t="s">
        <v>927</v>
      </c>
      <c r="G154" s="1">
        <v>-2.5000000000000001E-2</v>
      </c>
    </row>
    <row r="155" spans="1:7" x14ac:dyDescent="0.5">
      <c r="A155" t="s">
        <v>282</v>
      </c>
      <c r="B155">
        <v>0.4</v>
      </c>
      <c r="C155">
        <v>0.39</v>
      </c>
      <c r="D155">
        <v>0.4</v>
      </c>
      <c r="E155">
        <v>0.37</v>
      </c>
      <c r="F155" t="s">
        <v>928</v>
      </c>
      <c r="G155" s="1">
        <v>2.5600000000000001E-2</v>
      </c>
    </row>
    <row r="156" spans="1:7" x14ac:dyDescent="0.5">
      <c r="A156" t="s">
        <v>284</v>
      </c>
      <c r="B156">
        <v>0.39</v>
      </c>
      <c r="C156">
        <v>0.38</v>
      </c>
      <c r="D156">
        <v>0.41</v>
      </c>
      <c r="E156">
        <v>0.36</v>
      </c>
      <c r="F156" t="s">
        <v>929</v>
      </c>
      <c r="G156" s="1">
        <v>2.63E-2</v>
      </c>
    </row>
    <row r="157" spans="1:7" x14ac:dyDescent="0.5">
      <c r="A157" t="s">
        <v>286</v>
      </c>
      <c r="B157">
        <v>0.38</v>
      </c>
      <c r="C157">
        <v>0.39</v>
      </c>
      <c r="D157">
        <v>0.4</v>
      </c>
      <c r="E157">
        <v>0.38</v>
      </c>
      <c r="F157" t="s">
        <v>930</v>
      </c>
      <c r="G157" s="1">
        <v>-2.5600000000000001E-2</v>
      </c>
    </row>
    <row r="158" spans="1:7" x14ac:dyDescent="0.5">
      <c r="A158" t="s">
        <v>288</v>
      </c>
      <c r="B158">
        <v>0.39</v>
      </c>
      <c r="C158">
        <v>0.37</v>
      </c>
      <c r="D158">
        <v>0.4</v>
      </c>
      <c r="E158">
        <v>0.37</v>
      </c>
      <c r="F158" t="s">
        <v>931</v>
      </c>
      <c r="G158" s="1">
        <v>5.4100000000000002E-2</v>
      </c>
    </row>
    <row r="159" spans="1:7" x14ac:dyDescent="0.5">
      <c r="A159" t="s">
        <v>290</v>
      </c>
      <c r="B159">
        <v>0.37</v>
      </c>
      <c r="C159">
        <v>0.36</v>
      </c>
      <c r="D159">
        <v>0.39</v>
      </c>
      <c r="E159">
        <v>0.33</v>
      </c>
      <c r="F159" t="s">
        <v>444</v>
      </c>
      <c r="G159" s="1">
        <v>2.7799999999999998E-2</v>
      </c>
    </row>
    <row r="160" spans="1:7" x14ac:dyDescent="0.5">
      <c r="A160" t="s">
        <v>292</v>
      </c>
      <c r="B160">
        <v>0.36</v>
      </c>
      <c r="C160">
        <v>0.35</v>
      </c>
      <c r="D160">
        <v>0.37</v>
      </c>
      <c r="E160">
        <v>0.35</v>
      </c>
      <c r="F160" t="s">
        <v>428</v>
      </c>
      <c r="G160" s="1">
        <v>2.86E-2</v>
      </c>
    </row>
    <row r="161" spans="1:7" x14ac:dyDescent="0.5">
      <c r="A161" t="s">
        <v>293</v>
      </c>
      <c r="B161">
        <v>0.35</v>
      </c>
      <c r="C161">
        <v>0.36</v>
      </c>
      <c r="D161">
        <v>0.39</v>
      </c>
      <c r="E161">
        <v>0.35</v>
      </c>
      <c r="F161" t="s">
        <v>932</v>
      </c>
      <c r="G161" s="1">
        <v>-2.7799999999999998E-2</v>
      </c>
    </row>
    <row r="162" spans="1:7" x14ac:dyDescent="0.5">
      <c r="A162" t="s">
        <v>295</v>
      </c>
      <c r="B162">
        <v>0.36</v>
      </c>
      <c r="C162">
        <v>0.34</v>
      </c>
      <c r="D162">
        <v>0.37</v>
      </c>
      <c r="E162">
        <v>0.34</v>
      </c>
      <c r="F162" t="s">
        <v>933</v>
      </c>
      <c r="G162" s="1">
        <v>5.8799999999999998E-2</v>
      </c>
    </row>
    <row r="163" spans="1:7" x14ac:dyDescent="0.5">
      <c r="A163" t="s">
        <v>297</v>
      </c>
      <c r="B163">
        <v>0.34</v>
      </c>
      <c r="C163">
        <v>0.32</v>
      </c>
      <c r="D163">
        <v>0.34</v>
      </c>
      <c r="E163">
        <v>0.3</v>
      </c>
      <c r="F163" t="s">
        <v>934</v>
      </c>
      <c r="G163" s="1">
        <v>6.25E-2</v>
      </c>
    </row>
    <row r="164" spans="1:7" x14ac:dyDescent="0.5">
      <c r="A164" t="s">
        <v>299</v>
      </c>
      <c r="B164">
        <v>0.32</v>
      </c>
      <c r="C164">
        <v>0.31</v>
      </c>
      <c r="D164">
        <v>0.33</v>
      </c>
      <c r="E164">
        <v>0.31</v>
      </c>
      <c r="F164" t="s">
        <v>919</v>
      </c>
      <c r="G164" s="1">
        <v>0</v>
      </c>
    </row>
    <row r="165" spans="1:7" x14ac:dyDescent="0.5">
      <c r="A165" t="s">
        <v>301</v>
      </c>
      <c r="B165">
        <v>0.32</v>
      </c>
      <c r="C165">
        <v>0.31</v>
      </c>
      <c r="D165">
        <v>0.32</v>
      </c>
      <c r="E165">
        <v>0.3</v>
      </c>
      <c r="F165" t="s">
        <v>935</v>
      </c>
      <c r="G165" s="1">
        <v>3.2300000000000002E-2</v>
      </c>
    </row>
    <row r="166" spans="1:7" x14ac:dyDescent="0.5">
      <c r="A166" t="s">
        <v>303</v>
      </c>
      <c r="B166">
        <v>0.31</v>
      </c>
      <c r="C166">
        <v>0.31</v>
      </c>
      <c r="D166">
        <v>0.33</v>
      </c>
      <c r="E166">
        <v>0.3</v>
      </c>
      <c r="F166" t="s">
        <v>436</v>
      </c>
      <c r="G166" s="1">
        <v>0</v>
      </c>
    </row>
    <row r="167" spans="1:7" x14ac:dyDescent="0.5">
      <c r="A167" t="s">
        <v>305</v>
      </c>
      <c r="B167">
        <v>0.31</v>
      </c>
      <c r="C167">
        <v>0.3</v>
      </c>
      <c r="D167">
        <v>0.32</v>
      </c>
      <c r="E167">
        <v>0.28999999999999998</v>
      </c>
      <c r="F167" t="s">
        <v>936</v>
      </c>
      <c r="G167" s="1">
        <v>3.3300000000000003E-2</v>
      </c>
    </row>
    <row r="168" spans="1:7" x14ac:dyDescent="0.5">
      <c r="A168" t="s">
        <v>307</v>
      </c>
      <c r="B168">
        <v>0.3</v>
      </c>
      <c r="C168">
        <v>0.3</v>
      </c>
      <c r="D168">
        <v>0.33</v>
      </c>
      <c r="E168">
        <v>0.28000000000000003</v>
      </c>
      <c r="F168" t="s">
        <v>937</v>
      </c>
      <c r="G168" s="1">
        <v>0</v>
      </c>
    </row>
    <row r="169" spans="1:7" x14ac:dyDescent="0.5">
      <c r="A169" t="s">
        <v>309</v>
      </c>
      <c r="B169">
        <v>0.3</v>
      </c>
      <c r="C169">
        <v>0.34</v>
      </c>
      <c r="D169">
        <v>0.34</v>
      </c>
      <c r="E169">
        <v>0.3</v>
      </c>
      <c r="F169" t="s">
        <v>906</v>
      </c>
      <c r="G169" s="1">
        <v>-9.0899999999999995E-2</v>
      </c>
    </row>
    <row r="170" spans="1:7" x14ac:dyDescent="0.5">
      <c r="A170" t="s">
        <v>311</v>
      </c>
      <c r="B170">
        <v>0.33</v>
      </c>
      <c r="C170">
        <v>0.34</v>
      </c>
      <c r="D170">
        <v>0.35</v>
      </c>
      <c r="E170">
        <v>0.32</v>
      </c>
      <c r="F170" t="s">
        <v>938</v>
      </c>
      <c r="G170" s="1">
        <v>-5.7099999999999998E-2</v>
      </c>
    </row>
    <row r="171" spans="1:7" x14ac:dyDescent="0.5">
      <c r="A171" t="s">
        <v>313</v>
      </c>
      <c r="B171">
        <v>0.35</v>
      </c>
      <c r="C171">
        <v>0.34</v>
      </c>
      <c r="D171">
        <v>0.38</v>
      </c>
      <c r="E171">
        <v>0.33</v>
      </c>
      <c r="F171" t="s">
        <v>939</v>
      </c>
      <c r="G171" s="1">
        <v>2.9399999999999999E-2</v>
      </c>
    </row>
    <row r="172" spans="1:7" x14ac:dyDescent="0.5">
      <c r="A172" t="s">
        <v>315</v>
      </c>
      <c r="B172">
        <v>0.34</v>
      </c>
      <c r="C172">
        <v>0.35</v>
      </c>
      <c r="D172">
        <v>0.35</v>
      </c>
      <c r="E172">
        <v>0.3</v>
      </c>
      <c r="F172" t="s">
        <v>940</v>
      </c>
      <c r="G172" s="1">
        <v>-2.86E-2</v>
      </c>
    </row>
    <row r="173" spans="1:7" x14ac:dyDescent="0.5">
      <c r="A173" t="s">
        <v>317</v>
      </c>
      <c r="B173">
        <v>0.35</v>
      </c>
      <c r="C173">
        <v>0.3</v>
      </c>
      <c r="D173">
        <v>0.35</v>
      </c>
      <c r="E173">
        <v>0.28999999999999998</v>
      </c>
      <c r="F173" t="s">
        <v>941</v>
      </c>
      <c r="G173" s="1">
        <v>0.129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11BA-D1FD-A143-944A-5B3B85B0CD87}">
  <dimension ref="A1:G173"/>
  <sheetViews>
    <sheetView workbookViewId="0">
      <selection activeCell="A13" sqref="A13:XFD14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665.75</v>
      </c>
      <c r="C2">
        <v>558.34</v>
      </c>
      <c r="D2">
        <v>690.15</v>
      </c>
      <c r="E2">
        <v>556.1</v>
      </c>
      <c r="F2" t="s">
        <v>1533</v>
      </c>
      <c r="G2" s="1">
        <v>0.16320000000000001</v>
      </c>
    </row>
    <row r="3" spans="1:7" x14ac:dyDescent="0.5">
      <c r="A3" s="3">
        <v>46235</v>
      </c>
      <c r="B3">
        <v>572.34</v>
      </c>
      <c r="C3">
        <v>562.24</v>
      </c>
      <c r="D3">
        <v>612.42999999999995</v>
      </c>
      <c r="E3">
        <v>537.27</v>
      </c>
      <c r="F3" t="s">
        <v>1534</v>
      </c>
      <c r="G3" s="1">
        <v>2.81E-2</v>
      </c>
    </row>
    <row r="4" spans="1:7" x14ac:dyDescent="0.5">
      <c r="A4" s="3">
        <v>46204</v>
      </c>
      <c r="B4">
        <v>556.71</v>
      </c>
      <c r="C4">
        <v>607.91</v>
      </c>
      <c r="D4">
        <v>686.08</v>
      </c>
      <c r="E4">
        <v>524.49</v>
      </c>
      <c r="F4" t="s">
        <v>1535</v>
      </c>
      <c r="G4" s="1">
        <v>-1.17E-2</v>
      </c>
    </row>
    <row r="5" spans="1:7" x14ac:dyDescent="0.5">
      <c r="A5" s="3">
        <v>46174</v>
      </c>
      <c r="B5">
        <v>563.29</v>
      </c>
      <c r="C5">
        <v>630.4</v>
      </c>
      <c r="D5">
        <v>642.4</v>
      </c>
      <c r="E5">
        <v>540.17999999999995</v>
      </c>
      <c r="F5" t="s">
        <v>1536</v>
      </c>
      <c r="G5" s="1">
        <v>-0.1094</v>
      </c>
    </row>
    <row r="6" spans="1:7" x14ac:dyDescent="0.5">
      <c r="A6" s="3">
        <v>46143</v>
      </c>
      <c r="B6">
        <v>632.51</v>
      </c>
      <c r="C6">
        <v>614.69000000000005</v>
      </c>
      <c r="D6">
        <v>643</v>
      </c>
      <c r="E6">
        <v>592.6</v>
      </c>
      <c r="F6" t="s">
        <v>1537</v>
      </c>
      <c r="G6" s="1">
        <v>3.3700000000000001E-2</v>
      </c>
    </row>
    <row r="7" spans="1:7" x14ac:dyDescent="0.5">
      <c r="A7" s="3">
        <v>46113</v>
      </c>
      <c r="B7">
        <v>611.91</v>
      </c>
      <c r="C7">
        <v>580.13</v>
      </c>
      <c r="D7">
        <v>691.52</v>
      </c>
      <c r="E7">
        <v>559.70000000000005</v>
      </c>
      <c r="F7" t="s">
        <v>1538</v>
      </c>
      <c r="G7" s="1">
        <v>6.9500000000000006E-2</v>
      </c>
    </row>
    <row r="8" spans="1:7" x14ac:dyDescent="0.5">
      <c r="A8" s="3">
        <v>46082</v>
      </c>
      <c r="B8">
        <v>572.13</v>
      </c>
      <c r="C8">
        <v>637.16</v>
      </c>
      <c r="D8">
        <v>672.77</v>
      </c>
      <c r="E8">
        <v>520.26</v>
      </c>
      <c r="F8" t="s">
        <v>1539</v>
      </c>
      <c r="G8" s="1">
        <v>-0.1173</v>
      </c>
    </row>
    <row r="9" spans="1:7" x14ac:dyDescent="0.5">
      <c r="A9" s="3">
        <v>46054</v>
      </c>
      <c r="B9">
        <v>648.17999999999995</v>
      </c>
      <c r="C9">
        <v>714.6</v>
      </c>
      <c r="D9">
        <v>721.3</v>
      </c>
      <c r="E9">
        <v>628.15</v>
      </c>
      <c r="F9" t="s">
        <v>1540</v>
      </c>
      <c r="G9" s="1">
        <v>-9.5399999999999999E-2</v>
      </c>
    </row>
    <row r="10" spans="1:7" x14ac:dyDescent="0.5">
      <c r="A10" s="3">
        <v>46023</v>
      </c>
      <c r="B10">
        <v>716.5</v>
      </c>
      <c r="C10">
        <v>662.72</v>
      </c>
      <c r="D10">
        <v>744</v>
      </c>
      <c r="E10">
        <v>600</v>
      </c>
      <c r="F10" t="s">
        <v>1541</v>
      </c>
      <c r="G10" s="1">
        <v>8.5500000000000007E-2</v>
      </c>
    </row>
    <row r="11" spans="1:7" x14ac:dyDescent="0.5">
      <c r="A11" s="3">
        <v>45992</v>
      </c>
      <c r="B11">
        <v>660.09</v>
      </c>
      <c r="C11">
        <v>639.54999999999995</v>
      </c>
      <c r="D11">
        <v>711</v>
      </c>
      <c r="E11">
        <v>637.54999999999995</v>
      </c>
      <c r="F11" t="s">
        <v>1542</v>
      </c>
      <c r="G11" s="1">
        <v>1.8700000000000001E-2</v>
      </c>
    </row>
    <row r="12" spans="1:7" x14ac:dyDescent="0.5">
      <c r="A12" s="3">
        <v>45962</v>
      </c>
      <c r="B12">
        <v>647.95000000000005</v>
      </c>
      <c r="C12">
        <v>656</v>
      </c>
      <c r="D12">
        <v>659.33</v>
      </c>
      <c r="E12">
        <v>581.25</v>
      </c>
      <c r="F12" t="s">
        <v>1543</v>
      </c>
      <c r="G12" s="1">
        <v>-5.9999999999999995E-4</v>
      </c>
    </row>
    <row r="13" spans="1:7" x14ac:dyDescent="0.5">
      <c r="A13" s="3">
        <v>45931</v>
      </c>
      <c r="B13">
        <v>648.35</v>
      </c>
      <c r="C13">
        <v>721.49</v>
      </c>
      <c r="D13">
        <v>759.16</v>
      </c>
      <c r="E13">
        <v>645.57000000000005</v>
      </c>
      <c r="F13" t="s">
        <v>1476</v>
      </c>
      <c r="G13" s="1">
        <v>-0.1171</v>
      </c>
    </row>
    <row r="14" spans="1:7" x14ac:dyDescent="0.5">
      <c r="A14" s="3">
        <v>45901</v>
      </c>
      <c r="B14">
        <v>734.38</v>
      </c>
      <c r="C14">
        <v>726.04</v>
      </c>
      <c r="D14">
        <v>790.8</v>
      </c>
      <c r="E14">
        <v>721.73</v>
      </c>
      <c r="F14" t="s">
        <v>1477</v>
      </c>
      <c r="G14" s="1">
        <v>-5.7999999999999996E-3</v>
      </c>
    </row>
    <row r="15" spans="1:7" x14ac:dyDescent="0.5">
      <c r="A15" s="3">
        <v>45870</v>
      </c>
      <c r="B15">
        <v>738.7</v>
      </c>
      <c r="C15">
        <v>760.73</v>
      </c>
      <c r="D15">
        <v>796.25</v>
      </c>
      <c r="E15">
        <v>731</v>
      </c>
      <c r="F15" t="s">
        <v>1478</v>
      </c>
      <c r="G15" s="1">
        <v>-4.4900000000000002E-2</v>
      </c>
    </row>
    <row r="16" spans="1:7" x14ac:dyDescent="0.5">
      <c r="A16" s="3">
        <v>45839</v>
      </c>
      <c r="B16">
        <v>773.44</v>
      </c>
      <c r="C16">
        <v>736.88</v>
      </c>
      <c r="D16">
        <v>784.75</v>
      </c>
      <c r="E16">
        <v>691.2</v>
      </c>
      <c r="F16" t="s">
        <v>1479</v>
      </c>
      <c r="G16" s="1">
        <v>4.7899999999999998E-2</v>
      </c>
    </row>
    <row r="17" spans="1:7" x14ac:dyDescent="0.5">
      <c r="A17" t="s">
        <v>7</v>
      </c>
      <c r="B17">
        <v>738.09</v>
      </c>
      <c r="C17">
        <v>644.39</v>
      </c>
      <c r="D17">
        <v>747.9</v>
      </c>
      <c r="E17">
        <v>644.26</v>
      </c>
      <c r="F17" t="s">
        <v>942</v>
      </c>
      <c r="G17" s="1">
        <v>0.1399</v>
      </c>
    </row>
    <row r="18" spans="1:7" x14ac:dyDescent="0.5">
      <c r="A18" t="s">
        <v>9</v>
      </c>
      <c r="B18">
        <v>647.49</v>
      </c>
      <c r="C18">
        <v>592.08000000000004</v>
      </c>
      <c r="D18">
        <v>662.67</v>
      </c>
      <c r="E18">
        <v>570.5</v>
      </c>
      <c r="F18" t="s">
        <v>943</v>
      </c>
      <c r="G18" s="1">
        <v>0.1794</v>
      </c>
    </row>
    <row r="19" spans="1:7" x14ac:dyDescent="0.5">
      <c r="A19" t="s">
        <v>11</v>
      </c>
      <c r="B19">
        <v>549</v>
      </c>
      <c r="C19">
        <v>570.84</v>
      </c>
      <c r="D19">
        <v>592.66</v>
      </c>
      <c r="E19">
        <v>479.8</v>
      </c>
      <c r="F19" t="s">
        <v>944</v>
      </c>
      <c r="G19" s="1">
        <v>-4.7500000000000001E-2</v>
      </c>
    </row>
    <row r="20" spans="1:7" x14ac:dyDescent="0.5">
      <c r="A20" t="s">
        <v>13</v>
      </c>
      <c r="B20">
        <v>576.36</v>
      </c>
      <c r="C20">
        <v>673.67</v>
      </c>
      <c r="D20">
        <v>681.25</v>
      </c>
      <c r="E20">
        <v>553.29999999999995</v>
      </c>
      <c r="F20" t="s">
        <v>945</v>
      </c>
      <c r="G20" s="1">
        <v>-0.13739999999999999</v>
      </c>
    </row>
    <row r="21" spans="1:7" x14ac:dyDescent="0.5">
      <c r="A21" t="s">
        <v>15</v>
      </c>
      <c r="B21">
        <v>668.2</v>
      </c>
      <c r="C21">
        <v>675.91</v>
      </c>
      <c r="D21">
        <v>740.91</v>
      </c>
      <c r="E21">
        <v>641.86</v>
      </c>
      <c r="F21" t="s">
        <v>946</v>
      </c>
      <c r="G21" s="1">
        <v>-3.04E-2</v>
      </c>
    </row>
    <row r="22" spans="1:7" x14ac:dyDescent="0.5">
      <c r="A22" t="s">
        <v>17</v>
      </c>
      <c r="B22">
        <v>689.18</v>
      </c>
      <c r="C22">
        <v>589.72</v>
      </c>
      <c r="D22">
        <v>710.79</v>
      </c>
      <c r="E22">
        <v>587.82000000000005</v>
      </c>
      <c r="F22" t="s">
        <v>947</v>
      </c>
      <c r="G22" s="1">
        <v>0.17710000000000001</v>
      </c>
    </row>
    <row r="23" spans="1:7" x14ac:dyDescent="0.5">
      <c r="A23" t="s">
        <v>19</v>
      </c>
      <c r="B23">
        <v>585.51</v>
      </c>
      <c r="C23">
        <v>577.5</v>
      </c>
      <c r="D23">
        <v>638.4</v>
      </c>
      <c r="E23">
        <v>575.57000000000005</v>
      </c>
      <c r="F23" t="s">
        <v>948</v>
      </c>
      <c r="G23" s="1">
        <v>1.95E-2</v>
      </c>
    </row>
    <row r="24" spans="1:7" x14ac:dyDescent="0.5">
      <c r="A24" t="s">
        <v>21</v>
      </c>
      <c r="B24">
        <v>574.32000000000005</v>
      </c>
      <c r="C24">
        <v>567.6</v>
      </c>
      <c r="D24">
        <v>599.66</v>
      </c>
      <c r="E24">
        <v>549.04999999999995</v>
      </c>
      <c r="F24" t="s">
        <v>949</v>
      </c>
      <c r="G24" s="1">
        <v>1.1900000000000001E-2</v>
      </c>
    </row>
    <row r="25" spans="1:7" x14ac:dyDescent="0.5">
      <c r="A25" t="s">
        <v>23</v>
      </c>
      <c r="B25">
        <v>567.58000000000004</v>
      </c>
      <c r="C25">
        <v>577.98</v>
      </c>
      <c r="D25">
        <v>602.95000000000005</v>
      </c>
      <c r="E25">
        <v>561.52</v>
      </c>
      <c r="F25" t="s">
        <v>950</v>
      </c>
      <c r="G25" s="1">
        <v>-8.5000000000000006E-3</v>
      </c>
    </row>
    <row r="26" spans="1:7" x14ac:dyDescent="0.5">
      <c r="A26" t="s">
        <v>25</v>
      </c>
      <c r="B26">
        <v>572.44000000000005</v>
      </c>
      <c r="C26">
        <v>519.64</v>
      </c>
      <c r="D26">
        <v>577.4</v>
      </c>
      <c r="E26">
        <v>495.6</v>
      </c>
      <c r="F26" t="s">
        <v>951</v>
      </c>
      <c r="G26" s="1">
        <v>9.8100000000000007E-2</v>
      </c>
    </row>
    <row r="27" spans="1:7" x14ac:dyDescent="0.5">
      <c r="A27" t="s">
        <v>27</v>
      </c>
      <c r="B27">
        <v>521.30999999999995</v>
      </c>
      <c r="C27">
        <v>521</v>
      </c>
      <c r="D27">
        <v>544.23</v>
      </c>
      <c r="E27">
        <v>450.8</v>
      </c>
      <c r="F27" t="s">
        <v>952</v>
      </c>
      <c r="G27" s="1">
        <v>9.7900000000000001E-2</v>
      </c>
    </row>
    <row r="28" spans="1:7" x14ac:dyDescent="0.5">
      <c r="A28" t="s">
        <v>29</v>
      </c>
      <c r="B28">
        <v>474.83</v>
      </c>
      <c r="C28">
        <v>504.95</v>
      </c>
      <c r="D28">
        <v>542.80999999999995</v>
      </c>
      <c r="E28">
        <v>442.65</v>
      </c>
      <c r="F28" t="s">
        <v>953</v>
      </c>
      <c r="G28" s="1">
        <v>-5.8299999999999998E-2</v>
      </c>
    </row>
    <row r="29" spans="1:7" x14ac:dyDescent="0.5">
      <c r="A29" t="s">
        <v>31</v>
      </c>
      <c r="B29">
        <v>504.22</v>
      </c>
      <c r="C29">
        <v>470.86</v>
      </c>
      <c r="D29">
        <v>522.88</v>
      </c>
      <c r="E29">
        <v>468.24</v>
      </c>
      <c r="F29" t="s">
        <v>954</v>
      </c>
      <c r="G29" s="1">
        <v>8.0100000000000005E-2</v>
      </c>
    </row>
    <row r="30" spans="1:7" x14ac:dyDescent="0.5">
      <c r="A30" t="s">
        <v>33</v>
      </c>
      <c r="B30">
        <v>466.83</v>
      </c>
      <c r="C30">
        <v>428.6</v>
      </c>
      <c r="D30">
        <v>482.5</v>
      </c>
      <c r="E30">
        <v>427.11</v>
      </c>
      <c r="F30" t="s">
        <v>955</v>
      </c>
      <c r="G30" s="1">
        <v>8.5199999999999998E-2</v>
      </c>
    </row>
    <row r="31" spans="1:7" x14ac:dyDescent="0.5">
      <c r="A31" t="s">
        <v>35</v>
      </c>
      <c r="B31">
        <v>430.17</v>
      </c>
      <c r="C31">
        <v>487.2</v>
      </c>
      <c r="D31">
        <v>531.49</v>
      </c>
      <c r="E31">
        <v>414.5</v>
      </c>
      <c r="F31" t="s">
        <v>956</v>
      </c>
      <c r="G31" s="1">
        <v>-0.11409999999999999</v>
      </c>
    </row>
    <row r="32" spans="1:7" x14ac:dyDescent="0.5">
      <c r="A32" t="s">
        <v>37</v>
      </c>
      <c r="B32">
        <v>485.58</v>
      </c>
      <c r="C32">
        <v>492.11</v>
      </c>
      <c r="D32">
        <v>523.57000000000005</v>
      </c>
      <c r="E32">
        <v>476</v>
      </c>
      <c r="F32" t="s">
        <v>957</v>
      </c>
      <c r="G32" s="1">
        <v>-9.2999999999999992E-3</v>
      </c>
    </row>
    <row r="33" spans="1:7" x14ac:dyDescent="0.5">
      <c r="A33" t="s">
        <v>39</v>
      </c>
      <c r="B33">
        <v>490.13</v>
      </c>
      <c r="C33">
        <v>393.94</v>
      </c>
      <c r="D33">
        <v>494.36</v>
      </c>
      <c r="E33">
        <v>393.05</v>
      </c>
      <c r="F33" t="s">
        <v>958</v>
      </c>
      <c r="G33" s="1">
        <v>0.25629999999999997</v>
      </c>
    </row>
    <row r="34" spans="1:7" x14ac:dyDescent="0.5">
      <c r="A34" t="s">
        <v>41</v>
      </c>
      <c r="B34">
        <v>390.14</v>
      </c>
      <c r="C34">
        <v>351.32</v>
      </c>
      <c r="D34">
        <v>406.36</v>
      </c>
      <c r="E34">
        <v>340.01</v>
      </c>
      <c r="F34" t="s">
        <v>959</v>
      </c>
      <c r="G34" s="1">
        <v>0.1022</v>
      </c>
    </row>
    <row r="35" spans="1:7" x14ac:dyDescent="0.5">
      <c r="A35" t="s">
        <v>43</v>
      </c>
      <c r="B35">
        <v>353.96</v>
      </c>
      <c r="C35">
        <v>325.48</v>
      </c>
      <c r="D35">
        <v>361.9</v>
      </c>
      <c r="E35">
        <v>313.66000000000003</v>
      </c>
      <c r="F35" t="s">
        <v>960</v>
      </c>
      <c r="G35" s="1">
        <v>8.2000000000000003E-2</v>
      </c>
    </row>
    <row r="36" spans="1:7" x14ac:dyDescent="0.5">
      <c r="A36" t="s">
        <v>45</v>
      </c>
      <c r="B36">
        <v>327.14999999999998</v>
      </c>
      <c r="C36">
        <v>301.85000000000002</v>
      </c>
      <c r="D36">
        <v>342.92</v>
      </c>
      <c r="E36">
        <v>301.85000000000002</v>
      </c>
      <c r="F36" t="s">
        <v>961</v>
      </c>
      <c r="G36" s="1">
        <v>8.5900000000000004E-2</v>
      </c>
    </row>
    <row r="37" spans="1:7" x14ac:dyDescent="0.5">
      <c r="A37" t="s">
        <v>47</v>
      </c>
      <c r="B37">
        <v>301.27</v>
      </c>
      <c r="C37">
        <v>302.74</v>
      </c>
      <c r="D37">
        <v>330.54</v>
      </c>
      <c r="E37">
        <v>279.39999999999998</v>
      </c>
      <c r="F37" t="s">
        <v>962</v>
      </c>
      <c r="G37" s="1">
        <v>3.5000000000000001E-3</v>
      </c>
    </row>
    <row r="38" spans="1:7" x14ac:dyDescent="0.5">
      <c r="A38" t="s">
        <v>49</v>
      </c>
      <c r="B38">
        <v>300.20999999999998</v>
      </c>
      <c r="C38">
        <v>299.37</v>
      </c>
      <c r="D38">
        <v>312.87</v>
      </c>
      <c r="E38">
        <v>286.79000000000002</v>
      </c>
      <c r="F38" t="s">
        <v>963</v>
      </c>
      <c r="G38" s="1">
        <v>1.46E-2</v>
      </c>
    </row>
    <row r="39" spans="1:7" x14ac:dyDescent="0.5">
      <c r="A39" t="s">
        <v>51</v>
      </c>
      <c r="B39">
        <v>295.89</v>
      </c>
      <c r="C39">
        <v>317.54000000000002</v>
      </c>
      <c r="D39">
        <v>324.14</v>
      </c>
      <c r="E39">
        <v>274.38</v>
      </c>
      <c r="F39" t="s">
        <v>964</v>
      </c>
      <c r="G39" s="1">
        <v>-7.1300000000000002E-2</v>
      </c>
    </row>
    <row r="40" spans="1:7" x14ac:dyDescent="0.5">
      <c r="A40" t="s">
        <v>53</v>
      </c>
      <c r="B40">
        <v>318.60000000000002</v>
      </c>
      <c r="C40">
        <v>286.7</v>
      </c>
      <c r="D40">
        <v>326.2</v>
      </c>
      <c r="E40">
        <v>284.85000000000002</v>
      </c>
      <c r="F40" t="s">
        <v>965</v>
      </c>
      <c r="G40" s="1">
        <v>0.11020000000000001</v>
      </c>
    </row>
    <row r="41" spans="1:7" x14ac:dyDescent="0.5">
      <c r="A41" t="s">
        <v>55</v>
      </c>
      <c r="B41">
        <v>286.98</v>
      </c>
      <c r="C41">
        <v>265.89999999999998</v>
      </c>
      <c r="D41">
        <v>289.79000000000002</v>
      </c>
      <c r="E41">
        <v>258.88</v>
      </c>
      <c r="F41" t="s">
        <v>966</v>
      </c>
      <c r="G41" s="1">
        <v>8.4099999999999994E-2</v>
      </c>
    </row>
    <row r="42" spans="1:7" x14ac:dyDescent="0.5">
      <c r="A42" t="s">
        <v>57</v>
      </c>
      <c r="B42">
        <v>264.72000000000003</v>
      </c>
      <c r="C42">
        <v>238.62</v>
      </c>
      <c r="D42">
        <v>268.64999999999998</v>
      </c>
      <c r="E42">
        <v>229.85</v>
      </c>
      <c r="F42" t="s">
        <v>967</v>
      </c>
      <c r="G42" s="1">
        <v>0.10150000000000001</v>
      </c>
    </row>
    <row r="43" spans="1:7" x14ac:dyDescent="0.5">
      <c r="A43" t="s">
        <v>59</v>
      </c>
      <c r="B43">
        <v>240.32</v>
      </c>
      <c r="C43">
        <v>208.84</v>
      </c>
      <c r="D43">
        <v>241.68</v>
      </c>
      <c r="E43">
        <v>207.13</v>
      </c>
      <c r="F43" t="s">
        <v>968</v>
      </c>
      <c r="G43" s="1">
        <v>0.13389999999999999</v>
      </c>
    </row>
    <row r="44" spans="1:7" x14ac:dyDescent="0.5">
      <c r="A44" t="s">
        <v>61</v>
      </c>
      <c r="B44">
        <v>211.94</v>
      </c>
      <c r="C44">
        <v>174.59</v>
      </c>
      <c r="D44">
        <v>212.17</v>
      </c>
      <c r="E44">
        <v>171.43</v>
      </c>
      <c r="F44" t="s">
        <v>969</v>
      </c>
      <c r="G44" s="1">
        <v>0.21149999999999999</v>
      </c>
    </row>
    <row r="45" spans="1:7" x14ac:dyDescent="0.5">
      <c r="A45" t="s">
        <v>62</v>
      </c>
      <c r="B45">
        <v>174.94</v>
      </c>
      <c r="C45">
        <v>148.03</v>
      </c>
      <c r="D45">
        <v>197.16</v>
      </c>
      <c r="E45">
        <v>147.06</v>
      </c>
      <c r="F45" t="s">
        <v>970</v>
      </c>
      <c r="G45" s="1">
        <v>0.17430000000000001</v>
      </c>
    </row>
    <row r="46" spans="1:7" x14ac:dyDescent="0.5">
      <c r="A46" t="s">
        <v>64</v>
      </c>
      <c r="B46">
        <v>148.97</v>
      </c>
      <c r="C46">
        <v>122.82</v>
      </c>
      <c r="D46">
        <v>153.19</v>
      </c>
      <c r="E46">
        <v>122.28</v>
      </c>
      <c r="F46" t="s">
        <v>971</v>
      </c>
      <c r="G46" s="1">
        <v>0.2379</v>
      </c>
    </row>
    <row r="47" spans="1:7" x14ac:dyDescent="0.5">
      <c r="A47" t="s">
        <v>66</v>
      </c>
      <c r="B47">
        <v>120.34</v>
      </c>
      <c r="C47">
        <v>119.2</v>
      </c>
      <c r="D47">
        <v>124.67</v>
      </c>
      <c r="E47">
        <v>112.46</v>
      </c>
      <c r="F47" t="s">
        <v>972</v>
      </c>
      <c r="G47" s="1">
        <v>1.9E-2</v>
      </c>
    </row>
    <row r="48" spans="1:7" x14ac:dyDescent="0.5">
      <c r="A48" t="s">
        <v>68</v>
      </c>
      <c r="B48">
        <v>118.1</v>
      </c>
      <c r="C48">
        <v>94.33</v>
      </c>
      <c r="D48">
        <v>118.74</v>
      </c>
      <c r="E48">
        <v>88.09</v>
      </c>
      <c r="F48" t="s">
        <v>331</v>
      </c>
      <c r="G48" s="1">
        <v>0.26769999999999999</v>
      </c>
    </row>
    <row r="49" spans="1:7" x14ac:dyDescent="0.5">
      <c r="A49" t="s">
        <v>70</v>
      </c>
      <c r="B49">
        <v>93.16</v>
      </c>
      <c r="C49">
        <v>137.13999999999999</v>
      </c>
      <c r="D49">
        <v>142.38999999999999</v>
      </c>
      <c r="E49">
        <v>92.6</v>
      </c>
      <c r="F49" t="s">
        <v>587</v>
      </c>
      <c r="G49" s="1">
        <v>-0.31340000000000001</v>
      </c>
    </row>
    <row r="50" spans="1:7" x14ac:dyDescent="0.5">
      <c r="A50" t="s">
        <v>72</v>
      </c>
      <c r="B50">
        <v>135.68</v>
      </c>
      <c r="C50">
        <v>163.58000000000001</v>
      </c>
      <c r="D50">
        <v>171.39</v>
      </c>
      <c r="E50">
        <v>134.12</v>
      </c>
      <c r="F50" t="s">
        <v>973</v>
      </c>
      <c r="G50" s="1">
        <v>-0.16719999999999999</v>
      </c>
    </row>
    <row r="51" spans="1:7" x14ac:dyDescent="0.5">
      <c r="A51" t="s">
        <v>74</v>
      </c>
      <c r="B51">
        <v>162.93</v>
      </c>
      <c r="C51">
        <v>157.25</v>
      </c>
      <c r="D51">
        <v>183.1</v>
      </c>
      <c r="E51">
        <v>155.22999999999999</v>
      </c>
      <c r="F51" t="s">
        <v>974</v>
      </c>
      <c r="G51" s="1">
        <v>2.41E-2</v>
      </c>
    </row>
    <row r="52" spans="1:7" x14ac:dyDescent="0.5">
      <c r="A52" t="s">
        <v>76</v>
      </c>
      <c r="B52">
        <v>159.1</v>
      </c>
      <c r="C52">
        <v>160.31</v>
      </c>
      <c r="D52">
        <v>183.85</v>
      </c>
      <c r="E52">
        <v>154.85</v>
      </c>
      <c r="F52" t="s">
        <v>975</v>
      </c>
      <c r="G52" s="1">
        <v>-1.3299999999999999E-2</v>
      </c>
    </row>
    <row r="53" spans="1:7" x14ac:dyDescent="0.5">
      <c r="A53" t="s">
        <v>78</v>
      </c>
      <c r="B53">
        <v>161.25</v>
      </c>
      <c r="C53">
        <v>196.51</v>
      </c>
      <c r="D53">
        <v>202.03</v>
      </c>
      <c r="E53">
        <v>154.25</v>
      </c>
      <c r="F53" t="s">
        <v>976</v>
      </c>
      <c r="G53" s="1">
        <v>-0.1673</v>
      </c>
    </row>
    <row r="54" spans="1:7" x14ac:dyDescent="0.5">
      <c r="A54" t="s">
        <v>80</v>
      </c>
      <c r="B54">
        <v>193.64</v>
      </c>
      <c r="C54">
        <v>201.16</v>
      </c>
      <c r="D54">
        <v>224.3</v>
      </c>
      <c r="E54">
        <v>176.11</v>
      </c>
      <c r="F54" t="s">
        <v>977</v>
      </c>
      <c r="G54" s="1">
        <v>-3.4099999999999998E-2</v>
      </c>
    </row>
    <row r="55" spans="1:7" x14ac:dyDescent="0.5">
      <c r="A55" t="s">
        <v>82</v>
      </c>
      <c r="B55">
        <v>200.47</v>
      </c>
      <c r="C55">
        <v>224.55</v>
      </c>
      <c r="D55">
        <v>236.86</v>
      </c>
      <c r="E55">
        <v>169</v>
      </c>
      <c r="F55" t="s">
        <v>978</v>
      </c>
      <c r="G55" s="1">
        <v>-9.8400000000000001E-2</v>
      </c>
    </row>
    <row r="56" spans="1:7" x14ac:dyDescent="0.5">
      <c r="A56" t="s">
        <v>84</v>
      </c>
      <c r="B56">
        <v>222.36</v>
      </c>
      <c r="C56">
        <v>209.87</v>
      </c>
      <c r="D56">
        <v>231.15</v>
      </c>
      <c r="E56">
        <v>185.82</v>
      </c>
      <c r="F56" t="s">
        <v>979</v>
      </c>
      <c r="G56" s="1">
        <v>5.3699999999999998E-2</v>
      </c>
    </row>
    <row r="57" spans="1:7" x14ac:dyDescent="0.5">
      <c r="A57" t="s">
        <v>86</v>
      </c>
      <c r="B57">
        <v>211.03</v>
      </c>
      <c r="C57">
        <v>314.55</v>
      </c>
      <c r="D57">
        <v>328</v>
      </c>
      <c r="E57">
        <v>190.22</v>
      </c>
      <c r="F57" t="s">
        <v>675</v>
      </c>
      <c r="G57" s="1">
        <v>-0.32629999999999998</v>
      </c>
    </row>
    <row r="58" spans="1:7" x14ac:dyDescent="0.5">
      <c r="A58" t="s">
        <v>88</v>
      </c>
      <c r="B58">
        <v>313.26</v>
      </c>
      <c r="C58">
        <v>338.3</v>
      </c>
      <c r="D58">
        <v>343.09</v>
      </c>
      <c r="E58">
        <v>289.01</v>
      </c>
      <c r="F58" t="s">
        <v>980</v>
      </c>
      <c r="G58" s="1">
        <v>-6.8599999999999994E-2</v>
      </c>
    </row>
    <row r="59" spans="1:7" x14ac:dyDescent="0.5">
      <c r="A59" t="s">
        <v>90</v>
      </c>
      <c r="B59">
        <v>336.35</v>
      </c>
      <c r="C59">
        <v>330.29</v>
      </c>
      <c r="D59">
        <v>352.71</v>
      </c>
      <c r="E59">
        <v>299.5</v>
      </c>
      <c r="F59" t="s">
        <v>981</v>
      </c>
      <c r="G59" s="1">
        <v>3.6600000000000001E-2</v>
      </c>
    </row>
    <row r="60" spans="1:7" x14ac:dyDescent="0.5">
      <c r="A60" t="s">
        <v>92</v>
      </c>
      <c r="B60">
        <v>324.45999999999998</v>
      </c>
      <c r="C60">
        <v>326.04000000000002</v>
      </c>
      <c r="D60">
        <v>353.83</v>
      </c>
      <c r="E60">
        <v>323.2</v>
      </c>
      <c r="F60" t="s">
        <v>982</v>
      </c>
      <c r="G60" s="1">
        <v>2.8E-3</v>
      </c>
    </row>
    <row r="61" spans="1:7" x14ac:dyDescent="0.5">
      <c r="A61" t="s">
        <v>94</v>
      </c>
      <c r="B61">
        <v>323.57</v>
      </c>
      <c r="C61">
        <v>341.61</v>
      </c>
      <c r="D61">
        <v>345.02</v>
      </c>
      <c r="E61">
        <v>308.11</v>
      </c>
      <c r="F61" t="s">
        <v>983</v>
      </c>
      <c r="G61" s="1">
        <v>-4.6600000000000003E-2</v>
      </c>
    </row>
    <row r="62" spans="1:7" x14ac:dyDescent="0.5">
      <c r="A62" t="s">
        <v>96</v>
      </c>
      <c r="B62">
        <v>339.39</v>
      </c>
      <c r="C62">
        <v>379.59</v>
      </c>
      <c r="D62">
        <v>384.33</v>
      </c>
      <c r="E62">
        <v>338.15</v>
      </c>
      <c r="F62" t="s">
        <v>984</v>
      </c>
      <c r="G62" s="1">
        <v>-0.10539999999999999</v>
      </c>
    </row>
    <row r="63" spans="1:7" x14ac:dyDescent="0.5">
      <c r="A63" t="s">
        <v>98</v>
      </c>
      <c r="B63">
        <v>379.38</v>
      </c>
      <c r="C63">
        <v>358.1</v>
      </c>
      <c r="D63">
        <v>382.76</v>
      </c>
      <c r="E63">
        <v>347.7</v>
      </c>
      <c r="F63" t="s">
        <v>985</v>
      </c>
      <c r="G63" s="1">
        <v>6.4799999999999996E-2</v>
      </c>
    </row>
    <row r="64" spans="1:7" x14ac:dyDescent="0.5">
      <c r="A64" t="s">
        <v>100</v>
      </c>
      <c r="B64">
        <v>356.3</v>
      </c>
      <c r="C64">
        <v>346.82</v>
      </c>
      <c r="D64">
        <v>377.55</v>
      </c>
      <c r="E64">
        <v>334.5</v>
      </c>
      <c r="F64" t="s">
        <v>986</v>
      </c>
      <c r="G64" s="1">
        <v>2.47E-2</v>
      </c>
    </row>
    <row r="65" spans="1:7" x14ac:dyDescent="0.5">
      <c r="A65" t="s">
        <v>102</v>
      </c>
      <c r="B65">
        <v>347.71</v>
      </c>
      <c r="C65">
        <v>330.15</v>
      </c>
      <c r="D65">
        <v>358.14</v>
      </c>
      <c r="E65">
        <v>323.48</v>
      </c>
      <c r="F65" t="s">
        <v>987</v>
      </c>
      <c r="G65" s="1">
        <v>5.7700000000000001E-2</v>
      </c>
    </row>
    <row r="66" spans="1:7" x14ac:dyDescent="0.5">
      <c r="A66" t="s">
        <v>104</v>
      </c>
      <c r="B66">
        <v>328.73</v>
      </c>
      <c r="C66">
        <v>326.17</v>
      </c>
      <c r="D66">
        <v>333.78</v>
      </c>
      <c r="E66">
        <v>298.19</v>
      </c>
      <c r="F66" t="s">
        <v>988</v>
      </c>
      <c r="G66" s="1">
        <v>1.12E-2</v>
      </c>
    </row>
    <row r="67" spans="1:7" x14ac:dyDescent="0.5">
      <c r="A67" t="s">
        <v>106</v>
      </c>
      <c r="B67">
        <v>325.08</v>
      </c>
      <c r="C67">
        <v>298.39999999999998</v>
      </c>
      <c r="D67">
        <v>331.81</v>
      </c>
      <c r="E67">
        <v>296.04000000000002</v>
      </c>
      <c r="F67" t="s">
        <v>989</v>
      </c>
      <c r="G67" s="1">
        <v>0.1037</v>
      </c>
    </row>
    <row r="68" spans="1:7" x14ac:dyDescent="0.5">
      <c r="A68" t="s">
        <v>108</v>
      </c>
      <c r="B68">
        <v>294.52999999999997</v>
      </c>
      <c r="C68">
        <v>260.82</v>
      </c>
      <c r="D68">
        <v>299.7</v>
      </c>
      <c r="E68">
        <v>253.5</v>
      </c>
      <c r="F68" t="s">
        <v>990</v>
      </c>
      <c r="G68" s="1">
        <v>0.14330000000000001</v>
      </c>
    </row>
    <row r="69" spans="1:7" x14ac:dyDescent="0.5">
      <c r="A69" t="s">
        <v>110</v>
      </c>
      <c r="B69">
        <v>257.62</v>
      </c>
      <c r="C69">
        <v>259.52</v>
      </c>
      <c r="D69">
        <v>276.60000000000002</v>
      </c>
      <c r="E69">
        <v>254.04</v>
      </c>
      <c r="F69" t="s">
        <v>991</v>
      </c>
      <c r="G69" s="1">
        <v>-2.7000000000000001E-3</v>
      </c>
    </row>
    <row r="70" spans="1:7" x14ac:dyDescent="0.5">
      <c r="A70" t="s">
        <v>112</v>
      </c>
      <c r="B70">
        <v>258.33</v>
      </c>
      <c r="C70">
        <v>274.77999999999997</v>
      </c>
      <c r="D70">
        <v>286.79000000000002</v>
      </c>
      <c r="E70">
        <v>244.61</v>
      </c>
      <c r="F70" t="s">
        <v>992</v>
      </c>
      <c r="G70" s="1">
        <v>-5.4300000000000001E-2</v>
      </c>
    </row>
    <row r="71" spans="1:7" x14ac:dyDescent="0.5">
      <c r="A71" t="s">
        <v>114</v>
      </c>
      <c r="B71">
        <v>273.16000000000003</v>
      </c>
      <c r="C71">
        <v>279.16000000000003</v>
      </c>
      <c r="D71">
        <v>291.77999999999997</v>
      </c>
      <c r="E71">
        <v>264.63</v>
      </c>
      <c r="F71" t="s">
        <v>993</v>
      </c>
      <c r="G71" s="1">
        <v>-1.38E-2</v>
      </c>
    </row>
    <row r="72" spans="1:7" x14ac:dyDescent="0.5">
      <c r="A72" t="s">
        <v>116</v>
      </c>
      <c r="B72">
        <v>276.97000000000003</v>
      </c>
      <c r="C72">
        <v>264.60000000000002</v>
      </c>
      <c r="D72">
        <v>297.38</v>
      </c>
      <c r="E72">
        <v>257.33999999999997</v>
      </c>
      <c r="F72" t="s">
        <v>994</v>
      </c>
      <c r="G72" s="1">
        <v>5.2699999999999997E-2</v>
      </c>
    </row>
    <row r="73" spans="1:7" x14ac:dyDescent="0.5">
      <c r="A73" t="s">
        <v>118</v>
      </c>
      <c r="B73">
        <v>263.11</v>
      </c>
      <c r="C73">
        <v>265.35000000000002</v>
      </c>
      <c r="D73">
        <v>285.24</v>
      </c>
      <c r="E73">
        <v>254.82</v>
      </c>
      <c r="F73" t="s">
        <v>995</v>
      </c>
      <c r="G73" s="1">
        <v>4.5999999999999999E-3</v>
      </c>
    </row>
    <row r="74" spans="1:7" x14ac:dyDescent="0.5">
      <c r="A74" t="s">
        <v>120</v>
      </c>
      <c r="B74">
        <v>261.89999999999998</v>
      </c>
      <c r="C74">
        <v>294.70999999999998</v>
      </c>
      <c r="D74">
        <v>303.60000000000002</v>
      </c>
      <c r="E74">
        <v>244.13</v>
      </c>
      <c r="F74" t="s">
        <v>996</v>
      </c>
      <c r="G74" s="1">
        <v>-0.10680000000000001</v>
      </c>
    </row>
    <row r="75" spans="1:7" x14ac:dyDescent="0.5">
      <c r="A75" t="s">
        <v>122</v>
      </c>
      <c r="B75">
        <v>293.2</v>
      </c>
      <c r="C75">
        <v>252.65</v>
      </c>
      <c r="D75">
        <v>304.67</v>
      </c>
      <c r="E75">
        <v>247.43</v>
      </c>
      <c r="F75" t="s">
        <v>997</v>
      </c>
      <c r="G75" s="1">
        <v>0.15579999999999999</v>
      </c>
    </row>
    <row r="76" spans="1:7" x14ac:dyDescent="0.5">
      <c r="A76" t="s">
        <v>124</v>
      </c>
      <c r="B76">
        <v>253.67</v>
      </c>
      <c r="C76">
        <v>228.5</v>
      </c>
      <c r="D76">
        <v>255.85</v>
      </c>
      <c r="E76">
        <v>226.9</v>
      </c>
      <c r="F76" t="s">
        <v>998</v>
      </c>
      <c r="G76" s="1">
        <v>0.1171</v>
      </c>
    </row>
    <row r="77" spans="1:7" x14ac:dyDescent="0.5">
      <c r="A77" t="s">
        <v>126</v>
      </c>
      <c r="B77">
        <v>227.07</v>
      </c>
      <c r="C77">
        <v>224.59</v>
      </c>
      <c r="D77">
        <v>245.19</v>
      </c>
      <c r="E77">
        <v>207.11</v>
      </c>
      <c r="F77" t="s">
        <v>999</v>
      </c>
      <c r="G77" s="1">
        <v>8.8000000000000005E-3</v>
      </c>
    </row>
    <row r="78" spans="1:7" x14ac:dyDescent="0.5">
      <c r="A78" t="s">
        <v>128</v>
      </c>
      <c r="B78">
        <v>225.09</v>
      </c>
      <c r="C78">
        <v>201.6</v>
      </c>
      <c r="D78">
        <v>240.9</v>
      </c>
      <c r="E78">
        <v>198.76</v>
      </c>
      <c r="F78" t="s">
        <v>1000</v>
      </c>
      <c r="G78" s="1">
        <v>9.9599999999999994E-2</v>
      </c>
    </row>
    <row r="79" spans="1:7" x14ac:dyDescent="0.5">
      <c r="A79" t="s">
        <v>130</v>
      </c>
      <c r="B79">
        <v>204.71</v>
      </c>
      <c r="C79">
        <v>161.62</v>
      </c>
      <c r="D79">
        <v>209.69</v>
      </c>
      <c r="E79">
        <v>150.83000000000001</v>
      </c>
      <c r="F79" t="s">
        <v>1001</v>
      </c>
      <c r="G79" s="1">
        <v>0.2273</v>
      </c>
    </row>
    <row r="80" spans="1:7" x14ac:dyDescent="0.5">
      <c r="A80" t="s">
        <v>132</v>
      </c>
      <c r="B80">
        <v>166.8</v>
      </c>
      <c r="C80">
        <v>194.03</v>
      </c>
      <c r="D80">
        <v>197.24</v>
      </c>
      <c r="E80">
        <v>137.1</v>
      </c>
      <c r="F80" t="s">
        <v>1002</v>
      </c>
      <c r="G80" s="1">
        <v>-0.13339999999999999</v>
      </c>
    </row>
    <row r="81" spans="1:7" x14ac:dyDescent="0.5">
      <c r="A81" t="s">
        <v>134</v>
      </c>
      <c r="B81">
        <v>192.47</v>
      </c>
      <c r="C81">
        <v>203.44</v>
      </c>
      <c r="D81">
        <v>218.76</v>
      </c>
      <c r="E81">
        <v>181.82</v>
      </c>
      <c r="F81" t="s">
        <v>1003</v>
      </c>
      <c r="G81" s="1">
        <v>-4.6800000000000001E-2</v>
      </c>
    </row>
    <row r="82" spans="1:7" x14ac:dyDescent="0.5">
      <c r="A82" t="s">
        <v>136</v>
      </c>
      <c r="B82">
        <v>201.91</v>
      </c>
      <c r="C82">
        <v>206.75</v>
      </c>
      <c r="D82">
        <v>224.2</v>
      </c>
      <c r="E82">
        <v>201.06</v>
      </c>
      <c r="F82" t="s">
        <v>1004</v>
      </c>
      <c r="G82" s="1">
        <v>-1.6299999999999999E-2</v>
      </c>
    </row>
    <row r="83" spans="1:7" x14ac:dyDescent="0.5">
      <c r="A83" t="s">
        <v>138</v>
      </c>
      <c r="B83">
        <v>205.25</v>
      </c>
      <c r="C83">
        <v>202.13</v>
      </c>
      <c r="D83">
        <v>208.93</v>
      </c>
      <c r="E83">
        <v>193.17</v>
      </c>
      <c r="F83" t="s">
        <v>1005</v>
      </c>
      <c r="G83" s="1">
        <v>1.7899999999999999E-2</v>
      </c>
    </row>
    <row r="84" spans="1:7" x14ac:dyDescent="0.5">
      <c r="A84" t="s">
        <v>140</v>
      </c>
      <c r="B84">
        <v>201.64</v>
      </c>
      <c r="C84">
        <v>192.85</v>
      </c>
      <c r="D84">
        <v>203.8</v>
      </c>
      <c r="E84">
        <v>188.54</v>
      </c>
      <c r="F84" t="s">
        <v>1006</v>
      </c>
      <c r="G84" s="1">
        <v>5.21E-2</v>
      </c>
    </row>
    <row r="85" spans="1:7" x14ac:dyDescent="0.5">
      <c r="A85" t="s">
        <v>142</v>
      </c>
      <c r="B85">
        <v>191.65</v>
      </c>
      <c r="C85">
        <v>179.15</v>
      </c>
      <c r="D85">
        <v>198.09</v>
      </c>
      <c r="E85">
        <v>173.09</v>
      </c>
      <c r="F85" t="s">
        <v>1007</v>
      </c>
      <c r="G85" s="1">
        <v>7.6200000000000004E-2</v>
      </c>
    </row>
    <row r="86" spans="1:7" x14ac:dyDescent="0.5">
      <c r="A86" t="s">
        <v>144</v>
      </c>
      <c r="B86">
        <v>178.08</v>
      </c>
      <c r="C86">
        <v>184</v>
      </c>
      <c r="D86">
        <v>193.1</v>
      </c>
      <c r="E86">
        <v>175.66</v>
      </c>
      <c r="F86" t="s">
        <v>1008</v>
      </c>
      <c r="G86" s="1">
        <v>-4.0899999999999999E-2</v>
      </c>
    </row>
    <row r="87" spans="1:7" x14ac:dyDescent="0.5">
      <c r="A87" t="s">
        <v>146</v>
      </c>
      <c r="B87">
        <v>185.67</v>
      </c>
      <c r="C87">
        <v>194.17</v>
      </c>
      <c r="D87">
        <v>198.47</v>
      </c>
      <c r="E87">
        <v>176.66</v>
      </c>
      <c r="F87" t="s">
        <v>1009</v>
      </c>
      <c r="G87" s="1">
        <v>-4.41E-2</v>
      </c>
    </row>
    <row r="88" spans="1:7" x14ac:dyDescent="0.5">
      <c r="A88" t="s">
        <v>148</v>
      </c>
      <c r="B88">
        <v>194.23</v>
      </c>
      <c r="C88">
        <v>195.21</v>
      </c>
      <c r="D88">
        <v>208.66</v>
      </c>
      <c r="E88">
        <v>191.93</v>
      </c>
      <c r="F88" t="s">
        <v>1010</v>
      </c>
      <c r="G88" s="1">
        <v>6.4000000000000003E-3</v>
      </c>
    </row>
    <row r="89" spans="1:7" x14ac:dyDescent="0.5">
      <c r="A89" t="s">
        <v>150</v>
      </c>
      <c r="B89">
        <v>193</v>
      </c>
      <c r="C89">
        <v>175</v>
      </c>
      <c r="D89">
        <v>194.53</v>
      </c>
      <c r="E89">
        <v>160.84</v>
      </c>
      <c r="F89" t="s">
        <v>1011</v>
      </c>
      <c r="G89" s="1">
        <v>8.7499999999999994E-2</v>
      </c>
    </row>
    <row r="90" spans="1:7" x14ac:dyDescent="0.5">
      <c r="A90" t="s">
        <v>152</v>
      </c>
      <c r="B90">
        <v>177.47</v>
      </c>
      <c r="C90">
        <v>194.78</v>
      </c>
      <c r="D90">
        <v>196.18</v>
      </c>
      <c r="E90">
        <v>177.16</v>
      </c>
      <c r="F90" t="s">
        <v>1012</v>
      </c>
      <c r="G90" s="1">
        <v>-8.2400000000000001E-2</v>
      </c>
    </row>
    <row r="91" spans="1:7" x14ac:dyDescent="0.5">
      <c r="A91" t="s">
        <v>154</v>
      </c>
      <c r="B91">
        <v>193.4</v>
      </c>
      <c r="C91">
        <v>167.83</v>
      </c>
      <c r="D91">
        <v>198.48</v>
      </c>
      <c r="E91">
        <v>167.28</v>
      </c>
      <c r="F91" t="s">
        <v>1013</v>
      </c>
      <c r="G91" s="1">
        <v>0.16020000000000001</v>
      </c>
    </row>
    <row r="92" spans="1:7" x14ac:dyDescent="0.5">
      <c r="A92" t="s">
        <v>156</v>
      </c>
      <c r="B92">
        <v>166.69</v>
      </c>
      <c r="C92">
        <v>162.6</v>
      </c>
      <c r="D92">
        <v>174.3</v>
      </c>
      <c r="E92">
        <v>159.28</v>
      </c>
      <c r="F92" t="s">
        <v>1014</v>
      </c>
      <c r="G92" s="1">
        <v>3.2500000000000001E-2</v>
      </c>
    </row>
    <row r="93" spans="1:7" x14ac:dyDescent="0.5">
      <c r="A93" t="s">
        <v>158</v>
      </c>
      <c r="B93">
        <v>161.44999999999999</v>
      </c>
      <c r="C93">
        <v>165.84</v>
      </c>
      <c r="D93">
        <v>172.47</v>
      </c>
      <c r="E93">
        <v>159.59</v>
      </c>
      <c r="F93" t="s">
        <v>1015</v>
      </c>
      <c r="G93" s="1">
        <v>-3.1399999999999997E-2</v>
      </c>
    </row>
    <row r="94" spans="1:7" x14ac:dyDescent="0.5">
      <c r="A94" t="s">
        <v>160</v>
      </c>
      <c r="B94">
        <v>166.69</v>
      </c>
      <c r="C94">
        <v>128.99</v>
      </c>
      <c r="D94">
        <v>171.68</v>
      </c>
      <c r="E94">
        <v>128.56</v>
      </c>
      <c r="F94" t="s">
        <v>1016</v>
      </c>
      <c r="G94" s="1">
        <v>0.27160000000000001</v>
      </c>
    </row>
    <row r="95" spans="1:7" x14ac:dyDescent="0.5">
      <c r="A95" t="s">
        <v>162</v>
      </c>
      <c r="B95">
        <v>131.09</v>
      </c>
      <c r="C95">
        <v>143</v>
      </c>
      <c r="D95">
        <v>147.19</v>
      </c>
      <c r="E95">
        <v>123.02</v>
      </c>
      <c r="F95" t="s">
        <v>1017</v>
      </c>
      <c r="G95" s="1">
        <v>-6.7699999999999996E-2</v>
      </c>
    </row>
    <row r="96" spans="1:7" x14ac:dyDescent="0.5">
      <c r="A96" t="s">
        <v>164</v>
      </c>
      <c r="B96">
        <v>140.61000000000001</v>
      </c>
      <c r="C96">
        <v>151.52000000000001</v>
      </c>
      <c r="D96">
        <v>154.13</v>
      </c>
      <c r="E96">
        <v>126.85</v>
      </c>
      <c r="F96" t="s">
        <v>1018</v>
      </c>
      <c r="G96" s="1">
        <v>-7.3700000000000002E-2</v>
      </c>
    </row>
    <row r="97" spans="1:7" x14ac:dyDescent="0.5">
      <c r="A97" t="s">
        <v>166</v>
      </c>
      <c r="B97">
        <v>151.79</v>
      </c>
      <c r="C97">
        <v>163.03</v>
      </c>
      <c r="D97">
        <v>165.88</v>
      </c>
      <c r="E97">
        <v>139.03</v>
      </c>
      <c r="F97" t="s">
        <v>1019</v>
      </c>
      <c r="G97" s="1">
        <v>-7.6999999999999999E-2</v>
      </c>
    </row>
    <row r="98" spans="1:7" x14ac:dyDescent="0.5">
      <c r="A98" t="s">
        <v>168</v>
      </c>
      <c r="B98">
        <v>164.46</v>
      </c>
      <c r="C98">
        <v>173.5</v>
      </c>
      <c r="D98">
        <v>173.89</v>
      </c>
      <c r="E98">
        <v>158.87</v>
      </c>
      <c r="F98" t="s">
        <v>1020</v>
      </c>
      <c r="G98" s="1">
        <v>-6.4100000000000004E-2</v>
      </c>
    </row>
    <row r="99" spans="1:7" x14ac:dyDescent="0.5">
      <c r="A99" t="s">
        <v>170</v>
      </c>
      <c r="B99">
        <v>175.73</v>
      </c>
      <c r="C99">
        <v>173.93</v>
      </c>
      <c r="D99">
        <v>188.3</v>
      </c>
      <c r="E99">
        <v>170.27</v>
      </c>
      <c r="F99" t="s">
        <v>1021</v>
      </c>
      <c r="G99" s="1">
        <v>1.83E-2</v>
      </c>
    </row>
    <row r="100" spans="1:7" x14ac:dyDescent="0.5">
      <c r="A100" t="s">
        <v>172</v>
      </c>
      <c r="B100">
        <v>172.58</v>
      </c>
      <c r="C100">
        <v>193.37</v>
      </c>
      <c r="D100">
        <v>218.62</v>
      </c>
      <c r="E100">
        <v>166.56</v>
      </c>
      <c r="F100" t="s">
        <v>1022</v>
      </c>
      <c r="G100" s="1">
        <v>-0.1119</v>
      </c>
    </row>
    <row r="101" spans="1:7" x14ac:dyDescent="0.5">
      <c r="A101" t="s">
        <v>174</v>
      </c>
      <c r="B101">
        <v>194.32</v>
      </c>
      <c r="C101">
        <v>193.07</v>
      </c>
      <c r="D101">
        <v>203.55</v>
      </c>
      <c r="E101">
        <v>186.43</v>
      </c>
      <c r="F101" t="s">
        <v>1023</v>
      </c>
      <c r="G101" s="1">
        <v>1.32E-2</v>
      </c>
    </row>
    <row r="102" spans="1:7" x14ac:dyDescent="0.5">
      <c r="A102" t="s">
        <v>176</v>
      </c>
      <c r="B102">
        <v>191.78</v>
      </c>
      <c r="C102">
        <v>172</v>
      </c>
      <c r="D102">
        <v>192.72</v>
      </c>
      <c r="E102">
        <v>170.23</v>
      </c>
      <c r="F102" t="s">
        <v>1024</v>
      </c>
      <c r="G102" s="1">
        <v>0.115</v>
      </c>
    </row>
    <row r="103" spans="1:7" x14ac:dyDescent="0.5">
      <c r="A103" t="s">
        <v>178</v>
      </c>
      <c r="B103">
        <v>172</v>
      </c>
      <c r="C103">
        <v>157.81</v>
      </c>
      <c r="D103">
        <v>177.1</v>
      </c>
      <c r="E103">
        <v>150.51</v>
      </c>
      <c r="F103" t="s">
        <v>1025</v>
      </c>
      <c r="G103" s="1">
        <v>7.6399999999999996E-2</v>
      </c>
    </row>
    <row r="104" spans="1:7" x14ac:dyDescent="0.5">
      <c r="A104" t="s">
        <v>180</v>
      </c>
      <c r="B104">
        <v>159.79</v>
      </c>
      <c r="C104">
        <v>179.01</v>
      </c>
      <c r="D104">
        <v>186.1</v>
      </c>
      <c r="E104">
        <v>149.02000000000001</v>
      </c>
      <c r="F104" t="s">
        <v>1026</v>
      </c>
      <c r="G104" s="1">
        <v>-0.10390000000000001</v>
      </c>
    </row>
    <row r="105" spans="1:7" x14ac:dyDescent="0.5">
      <c r="A105" t="s">
        <v>182</v>
      </c>
      <c r="B105">
        <v>178.32</v>
      </c>
      <c r="C105">
        <v>188.22</v>
      </c>
      <c r="D105">
        <v>195.32</v>
      </c>
      <c r="E105">
        <v>167.18</v>
      </c>
      <c r="F105" t="s">
        <v>1027</v>
      </c>
      <c r="G105" s="1">
        <v>-4.5900000000000003E-2</v>
      </c>
    </row>
    <row r="106" spans="1:7" x14ac:dyDescent="0.5">
      <c r="A106" t="s">
        <v>184</v>
      </c>
      <c r="B106">
        <v>186.89</v>
      </c>
      <c r="C106">
        <v>177.68</v>
      </c>
      <c r="D106">
        <v>190.66</v>
      </c>
      <c r="E106">
        <v>175.8</v>
      </c>
      <c r="F106" t="s">
        <v>1028</v>
      </c>
      <c r="G106" s="1">
        <v>5.91E-2</v>
      </c>
    </row>
    <row r="107" spans="1:7" x14ac:dyDescent="0.5">
      <c r="A107" t="s">
        <v>186</v>
      </c>
      <c r="B107">
        <v>176.46</v>
      </c>
      <c r="C107">
        <v>176.03</v>
      </c>
      <c r="D107">
        <v>182.28</v>
      </c>
      <c r="E107">
        <v>169.01</v>
      </c>
      <c r="F107" t="s">
        <v>1029</v>
      </c>
      <c r="G107" s="1">
        <v>-4.1000000000000003E-3</v>
      </c>
    </row>
    <row r="108" spans="1:7" x14ac:dyDescent="0.5">
      <c r="A108" t="s">
        <v>188</v>
      </c>
      <c r="B108">
        <v>177.18</v>
      </c>
      <c r="C108">
        <v>182.36</v>
      </c>
      <c r="D108">
        <v>184.25</v>
      </c>
      <c r="E108">
        <v>174</v>
      </c>
      <c r="F108" t="s">
        <v>1030</v>
      </c>
      <c r="G108" s="1">
        <v>-1.6E-2</v>
      </c>
    </row>
    <row r="109" spans="1:7" x14ac:dyDescent="0.5">
      <c r="A109" t="s">
        <v>190</v>
      </c>
      <c r="B109">
        <v>180.06</v>
      </c>
      <c r="C109">
        <v>171.39</v>
      </c>
      <c r="D109">
        <v>180.8</v>
      </c>
      <c r="E109">
        <v>168.29</v>
      </c>
      <c r="F109" t="s">
        <v>1031</v>
      </c>
      <c r="G109" s="1">
        <v>5.3800000000000001E-2</v>
      </c>
    </row>
    <row r="110" spans="1:7" x14ac:dyDescent="0.5">
      <c r="A110" t="s">
        <v>192</v>
      </c>
      <c r="B110">
        <v>170.87</v>
      </c>
      <c r="C110">
        <v>172.4</v>
      </c>
      <c r="D110">
        <v>174</v>
      </c>
      <c r="E110">
        <v>161.56</v>
      </c>
      <c r="F110" t="s">
        <v>1032</v>
      </c>
      <c r="G110" s="1">
        <v>-6.4000000000000003E-3</v>
      </c>
    </row>
    <row r="111" spans="1:7" x14ac:dyDescent="0.5">
      <c r="A111" t="s">
        <v>194</v>
      </c>
      <c r="B111">
        <v>171.97</v>
      </c>
      <c r="C111">
        <v>169.82</v>
      </c>
      <c r="D111">
        <v>173.05</v>
      </c>
      <c r="E111">
        <v>165</v>
      </c>
      <c r="F111" t="s">
        <v>1033</v>
      </c>
      <c r="G111" s="1">
        <v>1.61E-2</v>
      </c>
    </row>
    <row r="112" spans="1:7" x14ac:dyDescent="0.5">
      <c r="A112" t="s">
        <v>196</v>
      </c>
      <c r="B112">
        <v>169.25</v>
      </c>
      <c r="C112">
        <v>151.72</v>
      </c>
      <c r="D112">
        <v>175.49</v>
      </c>
      <c r="E112">
        <v>147.80000000000001</v>
      </c>
      <c r="F112" t="s">
        <v>1034</v>
      </c>
      <c r="G112" s="1">
        <v>0.121</v>
      </c>
    </row>
    <row r="113" spans="1:7" x14ac:dyDescent="0.5">
      <c r="A113" t="s">
        <v>198</v>
      </c>
      <c r="B113">
        <v>150.97999999999999</v>
      </c>
      <c r="C113">
        <v>151.75</v>
      </c>
      <c r="D113">
        <v>156.5</v>
      </c>
      <c r="E113">
        <v>144.56</v>
      </c>
      <c r="F113" t="s">
        <v>1035</v>
      </c>
      <c r="G113" s="1">
        <v>-3.2000000000000002E-3</v>
      </c>
    </row>
    <row r="114" spans="1:7" x14ac:dyDescent="0.5">
      <c r="A114" t="s">
        <v>200</v>
      </c>
      <c r="B114">
        <v>151.46</v>
      </c>
      <c r="C114">
        <v>151.74</v>
      </c>
      <c r="D114">
        <v>153.6</v>
      </c>
      <c r="E114">
        <v>144.41999999999999</v>
      </c>
      <c r="F114" t="s">
        <v>1036</v>
      </c>
      <c r="G114" s="1">
        <v>8.0999999999999996E-3</v>
      </c>
    </row>
    <row r="115" spans="1:7" x14ac:dyDescent="0.5">
      <c r="A115" t="s">
        <v>202</v>
      </c>
      <c r="B115">
        <v>150.25</v>
      </c>
      <c r="C115">
        <v>141.93</v>
      </c>
      <c r="D115">
        <v>151.53</v>
      </c>
      <c r="E115">
        <v>138.81</v>
      </c>
      <c r="F115" t="s">
        <v>1037</v>
      </c>
      <c r="G115" s="1">
        <v>5.7700000000000001E-2</v>
      </c>
    </row>
    <row r="116" spans="1:7" x14ac:dyDescent="0.5">
      <c r="A116" t="s">
        <v>204</v>
      </c>
      <c r="B116">
        <v>142.05000000000001</v>
      </c>
      <c r="C116">
        <v>136.47</v>
      </c>
      <c r="D116">
        <v>142.94999999999999</v>
      </c>
      <c r="E116">
        <v>136.08000000000001</v>
      </c>
      <c r="F116" t="s">
        <v>1038</v>
      </c>
      <c r="G116" s="1">
        <v>4.8000000000000001E-2</v>
      </c>
    </row>
    <row r="117" spans="1:7" x14ac:dyDescent="0.5">
      <c r="A117" t="s">
        <v>206</v>
      </c>
      <c r="B117">
        <v>135.54</v>
      </c>
      <c r="C117">
        <v>132.25</v>
      </c>
      <c r="D117">
        <v>137.18</v>
      </c>
      <c r="E117">
        <v>130.30000000000001</v>
      </c>
      <c r="F117" t="s">
        <v>1039</v>
      </c>
      <c r="G117" s="1">
        <v>4.0099999999999997E-2</v>
      </c>
    </row>
    <row r="118" spans="1:7" x14ac:dyDescent="0.5">
      <c r="A118" t="s">
        <v>208</v>
      </c>
      <c r="B118">
        <v>130.32</v>
      </c>
      <c r="C118">
        <v>116.03</v>
      </c>
      <c r="D118">
        <v>133.13999999999999</v>
      </c>
      <c r="E118">
        <v>115.51</v>
      </c>
      <c r="F118" t="s">
        <v>1040</v>
      </c>
      <c r="G118" s="1">
        <v>0.13270000000000001</v>
      </c>
    </row>
    <row r="119" spans="1:7" x14ac:dyDescent="0.5">
      <c r="A119" t="s">
        <v>210</v>
      </c>
      <c r="B119">
        <v>115.05</v>
      </c>
      <c r="C119">
        <v>118.38</v>
      </c>
      <c r="D119">
        <v>122.5</v>
      </c>
      <c r="E119">
        <v>114</v>
      </c>
      <c r="F119" t="s">
        <v>1041</v>
      </c>
      <c r="G119" s="1">
        <v>-2.8500000000000001E-2</v>
      </c>
    </row>
    <row r="120" spans="1:7" x14ac:dyDescent="0.5">
      <c r="A120" t="s">
        <v>212</v>
      </c>
      <c r="B120">
        <v>118.42</v>
      </c>
      <c r="C120">
        <v>131.41</v>
      </c>
      <c r="D120">
        <v>131.94</v>
      </c>
      <c r="E120">
        <v>113.55</v>
      </c>
      <c r="F120" t="s">
        <v>1042</v>
      </c>
      <c r="G120" s="1">
        <v>-9.6000000000000002E-2</v>
      </c>
    </row>
    <row r="121" spans="1:7" x14ac:dyDescent="0.5">
      <c r="A121" t="s">
        <v>214</v>
      </c>
      <c r="B121">
        <v>130.99</v>
      </c>
      <c r="C121">
        <v>128.38</v>
      </c>
      <c r="D121">
        <v>133.5</v>
      </c>
      <c r="E121">
        <v>126.75</v>
      </c>
      <c r="F121" t="s">
        <v>1043</v>
      </c>
      <c r="G121" s="1">
        <v>2.12E-2</v>
      </c>
    </row>
    <row r="122" spans="1:7" x14ac:dyDescent="0.5">
      <c r="A122" t="s">
        <v>216</v>
      </c>
      <c r="B122">
        <v>128.27000000000001</v>
      </c>
      <c r="C122">
        <v>126.38</v>
      </c>
      <c r="D122">
        <v>131.97999999999999</v>
      </c>
      <c r="E122">
        <v>125.6</v>
      </c>
      <c r="F122" t="s">
        <v>1044</v>
      </c>
      <c r="G122" s="1">
        <v>1.7000000000000001E-2</v>
      </c>
    </row>
    <row r="123" spans="1:7" x14ac:dyDescent="0.5">
      <c r="A123" t="s">
        <v>218</v>
      </c>
      <c r="B123">
        <v>126.12</v>
      </c>
      <c r="C123">
        <v>123.85</v>
      </c>
      <c r="D123">
        <v>126.73</v>
      </c>
      <c r="E123">
        <v>122.07</v>
      </c>
      <c r="F123" t="s">
        <v>1045</v>
      </c>
      <c r="G123" s="1">
        <v>1.7600000000000001E-2</v>
      </c>
    </row>
    <row r="124" spans="1:7" x14ac:dyDescent="0.5">
      <c r="A124" t="s">
        <v>220</v>
      </c>
      <c r="B124">
        <v>123.94</v>
      </c>
      <c r="C124">
        <v>114.2</v>
      </c>
      <c r="D124">
        <v>128.33000000000001</v>
      </c>
      <c r="E124">
        <v>112.97</v>
      </c>
      <c r="F124" t="s">
        <v>1046</v>
      </c>
      <c r="G124" s="1">
        <v>8.4500000000000006E-2</v>
      </c>
    </row>
    <row r="125" spans="1:7" x14ac:dyDescent="0.5">
      <c r="A125" t="s">
        <v>222</v>
      </c>
      <c r="B125">
        <v>114.28</v>
      </c>
      <c r="C125">
        <v>118.5</v>
      </c>
      <c r="D125">
        <v>119.44</v>
      </c>
      <c r="E125">
        <v>108.23</v>
      </c>
      <c r="F125" t="s">
        <v>1047</v>
      </c>
      <c r="G125" s="1">
        <v>-3.8100000000000002E-2</v>
      </c>
    </row>
    <row r="126" spans="1:7" x14ac:dyDescent="0.5">
      <c r="A126" t="s">
        <v>224</v>
      </c>
      <c r="B126">
        <v>118.81</v>
      </c>
      <c r="C126">
        <v>117.83</v>
      </c>
      <c r="D126">
        <v>121.08</v>
      </c>
      <c r="E126">
        <v>114.8</v>
      </c>
      <c r="F126" t="s">
        <v>1048</v>
      </c>
      <c r="G126" s="1">
        <v>1.0500000000000001E-2</v>
      </c>
    </row>
    <row r="127" spans="1:7" x14ac:dyDescent="0.5">
      <c r="A127" t="s">
        <v>226</v>
      </c>
      <c r="B127">
        <v>117.58</v>
      </c>
      <c r="C127">
        <v>113.75</v>
      </c>
      <c r="D127">
        <v>120.79</v>
      </c>
      <c r="E127">
        <v>106.31</v>
      </c>
      <c r="F127" t="s">
        <v>1049</v>
      </c>
      <c r="G127" s="1">
        <v>3.0499999999999999E-2</v>
      </c>
    </row>
    <row r="128" spans="1:7" x14ac:dyDescent="0.5">
      <c r="A128" t="s">
        <v>228</v>
      </c>
      <c r="B128">
        <v>114.1</v>
      </c>
      <c r="C128">
        <v>107.83</v>
      </c>
      <c r="D128">
        <v>116.99</v>
      </c>
      <c r="E128">
        <v>104.4</v>
      </c>
      <c r="F128" t="s">
        <v>1050</v>
      </c>
      <c r="G128" s="1">
        <v>6.7199999999999996E-2</v>
      </c>
    </row>
    <row r="129" spans="1:7" x14ac:dyDescent="0.5">
      <c r="A129" t="s">
        <v>230</v>
      </c>
      <c r="B129">
        <v>106.92</v>
      </c>
      <c r="C129">
        <v>112.27</v>
      </c>
      <c r="D129">
        <v>117.59</v>
      </c>
      <c r="E129">
        <v>96.82</v>
      </c>
      <c r="F129" t="s">
        <v>1051</v>
      </c>
      <c r="G129" s="1">
        <v>-4.7100000000000003E-2</v>
      </c>
    </row>
    <row r="130" spans="1:7" x14ac:dyDescent="0.5">
      <c r="A130" t="s">
        <v>232</v>
      </c>
      <c r="B130">
        <v>112.21</v>
      </c>
      <c r="C130">
        <v>101.95</v>
      </c>
      <c r="D130">
        <v>112.84</v>
      </c>
      <c r="E130">
        <v>89.37</v>
      </c>
      <c r="F130" t="s">
        <v>1052</v>
      </c>
      <c r="G130" s="1">
        <v>7.2099999999999997E-2</v>
      </c>
    </row>
    <row r="131" spans="1:7" x14ac:dyDescent="0.5">
      <c r="A131" t="s">
        <v>234</v>
      </c>
      <c r="B131">
        <v>104.66</v>
      </c>
      <c r="C131">
        <v>104.83</v>
      </c>
      <c r="D131">
        <v>107.92</v>
      </c>
      <c r="E131">
        <v>101.46</v>
      </c>
      <c r="F131" t="s">
        <v>1053</v>
      </c>
      <c r="G131" s="1">
        <v>4.0000000000000001E-3</v>
      </c>
    </row>
    <row r="132" spans="1:7" x14ac:dyDescent="0.5">
      <c r="A132" t="s">
        <v>236</v>
      </c>
      <c r="B132">
        <v>104.24</v>
      </c>
      <c r="C132">
        <v>102.46</v>
      </c>
      <c r="D132">
        <v>110.65</v>
      </c>
      <c r="E132">
        <v>100.47</v>
      </c>
      <c r="F132" t="s">
        <v>1054</v>
      </c>
      <c r="G132" s="1">
        <v>2.23E-2</v>
      </c>
    </row>
    <row r="133" spans="1:7" x14ac:dyDescent="0.5">
      <c r="A133" t="s">
        <v>238</v>
      </c>
      <c r="B133">
        <v>101.97</v>
      </c>
      <c r="C133">
        <v>90.05</v>
      </c>
      <c r="D133">
        <v>105.12</v>
      </c>
      <c r="E133">
        <v>88.36</v>
      </c>
      <c r="F133" t="s">
        <v>1055</v>
      </c>
      <c r="G133" s="1">
        <v>0.1343</v>
      </c>
    </row>
    <row r="134" spans="1:7" x14ac:dyDescent="0.5">
      <c r="A134" t="s">
        <v>240</v>
      </c>
      <c r="B134">
        <v>89.9</v>
      </c>
      <c r="C134">
        <v>86.85</v>
      </c>
      <c r="D134">
        <v>96.49</v>
      </c>
      <c r="E134">
        <v>85.72</v>
      </c>
      <c r="F134" t="s">
        <v>1056</v>
      </c>
      <c r="G134" s="1">
        <v>5.3E-3</v>
      </c>
    </row>
    <row r="135" spans="1:7" x14ac:dyDescent="0.5">
      <c r="A135" t="s">
        <v>242</v>
      </c>
      <c r="B135">
        <v>89.43</v>
      </c>
      <c r="C135">
        <v>93.53</v>
      </c>
      <c r="D135">
        <v>98.74</v>
      </c>
      <c r="E135">
        <v>72</v>
      </c>
      <c r="F135" t="s">
        <v>1057</v>
      </c>
      <c r="G135" s="1">
        <v>-4.87E-2</v>
      </c>
    </row>
    <row r="136" spans="1:7" x14ac:dyDescent="0.5">
      <c r="A136" t="s">
        <v>244</v>
      </c>
      <c r="B136">
        <v>94.01</v>
      </c>
      <c r="C136">
        <v>86.77</v>
      </c>
      <c r="D136">
        <v>99.24</v>
      </c>
      <c r="E136">
        <v>85.23</v>
      </c>
      <c r="F136" t="s">
        <v>1058</v>
      </c>
      <c r="G136" s="1">
        <v>9.6100000000000005E-2</v>
      </c>
    </row>
    <row r="137" spans="1:7" x14ac:dyDescent="0.5">
      <c r="A137" t="s">
        <v>246</v>
      </c>
      <c r="B137">
        <v>85.76</v>
      </c>
      <c r="C137">
        <v>79.3</v>
      </c>
      <c r="D137">
        <v>89.4</v>
      </c>
      <c r="E137">
        <v>78.66</v>
      </c>
      <c r="F137" t="s">
        <v>1059</v>
      </c>
      <c r="G137" s="1">
        <v>8.3000000000000004E-2</v>
      </c>
    </row>
    <row r="138" spans="1:7" x14ac:dyDescent="0.5">
      <c r="A138" t="s">
        <v>248</v>
      </c>
      <c r="B138">
        <v>79.19</v>
      </c>
      <c r="C138">
        <v>79.239999999999995</v>
      </c>
      <c r="D138">
        <v>81.849999999999994</v>
      </c>
      <c r="E138">
        <v>76.790000000000006</v>
      </c>
      <c r="F138" t="s">
        <v>1060</v>
      </c>
      <c r="G138" s="1">
        <v>5.3E-3</v>
      </c>
    </row>
    <row r="139" spans="1:7" x14ac:dyDescent="0.5">
      <c r="A139" t="s">
        <v>250</v>
      </c>
      <c r="B139">
        <v>78.77</v>
      </c>
      <c r="C139">
        <v>82.5</v>
      </c>
      <c r="D139">
        <v>85.59</v>
      </c>
      <c r="E139">
        <v>78.319999999999993</v>
      </c>
      <c r="F139" t="s">
        <v>1061</v>
      </c>
      <c r="G139" s="1">
        <v>-4.19E-2</v>
      </c>
    </row>
    <row r="140" spans="1:7" x14ac:dyDescent="0.5">
      <c r="A140" t="s">
        <v>252</v>
      </c>
      <c r="B140">
        <v>82.21</v>
      </c>
      <c r="C140">
        <v>79</v>
      </c>
      <c r="D140">
        <v>86.07</v>
      </c>
      <c r="E140">
        <v>77.260000000000005</v>
      </c>
      <c r="F140" t="s">
        <v>1062</v>
      </c>
      <c r="G140" s="1">
        <v>4.1099999999999998E-2</v>
      </c>
    </row>
    <row r="141" spans="1:7" x14ac:dyDescent="0.5">
      <c r="A141" t="s">
        <v>254</v>
      </c>
      <c r="B141">
        <v>78.97</v>
      </c>
      <c r="C141">
        <v>76.11</v>
      </c>
      <c r="D141">
        <v>81.37</v>
      </c>
      <c r="E141">
        <v>73.45</v>
      </c>
      <c r="F141" t="s">
        <v>1063</v>
      </c>
      <c r="G141" s="1">
        <v>4.0300000000000002E-2</v>
      </c>
    </row>
    <row r="142" spans="1:7" x14ac:dyDescent="0.5">
      <c r="A142" t="s">
        <v>256</v>
      </c>
      <c r="B142">
        <v>75.91</v>
      </c>
      <c r="C142">
        <v>78.58</v>
      </c>
      <c r="D142">
        <v>79.25</v>
      </c>
      <c r="E142">
        <v>73.540000000000006</v>
      </c>
      <c r="F142" t="s">
        <v>1064</v>
      </c>
      <c r="G142" s="1">
        <v>-2.7E-2</v>
      </c>
    </row>
    <row r="143" spans="1:7" x14ac:dyDescent="0.5">
      <c r="A143" t="s">
        <v>258</v>
      </c>
      <c r="B143">
        <v>78.02</v>
      </c>
      <c r="C143">
        <v>77.260000000000005</v>
      </c>
      <c r="D143">
        <v>82.17</v>
      </c>
      <c r="E143">
        <v>74.400000000000006</v>
      </c>
      <c r="F143" t="s">
        <v>1065</v>
      </c>
      <c r="G143" s="1">
        <v>4.1000000000000003E-3</v>
      </c>
    </row>
    <row r="144" spans="1:7" x14ac:dyDescent="0.5">
      <c r="A144" t="s">
        <v>260</v>
      </c>
      <c r="B144">
        <v>77.7</v>
      </c>
      <c r="C144">
        <v>75.47</v>
      </c>
      <c r="D144">
        <v>78.27</v>
      </c>
      <c r="E144">
        <v>72.510000000000005</v>
      </c>
      <c r="F144" t="s">
        <v>1066</v>
      </c>
      <c r="G144" s="1">
        <v>3.61E-2</v>
      </c>
    </row>
    <row r="145" spans="1:7" x14ac:dyDescent="0.5">
      <c r="A145" t="s">
        <v>262</v>
      </c>
      <c r="B145">
        <v>74.989999999999995</v>
      </c>
      <c r="C145">
        <v>78.78</v>
      </c>
      <c r="D145">
        <v>81.16</v>
      </c>
      <c r="E145">
        <v>70.319999999999993</v>
      </c>
      <c r="F145" t="s">
        <v>796</v>
      </c>
      <c r="G145" s="1">
        <v>-5.1200000000000002E-2</v>
      </c>
    </row>
    <row r="146" spans="1:7" x14ac:dyDescent="0.5">
      <c r="A146" t="s">
        <v>264</v>
      </c>
      <c r="B146">
        <v>79.040000000000006</v>
      </c>
      <c r="C146">
        <v>75.010000000000005</v>
      </c>
      <c r="D146">
        <v>79.709999999999994</v>
      </c>
      <c r="E146">
        <v>73.069999999999993</v>
      </c>
      <c r="F146" t="s">
        <v>1067</v>
      </c>
      <c r="G146" s="1">
        <v>5.6399999999999999E-2</v>
      </c>
    </row>
    <row r="147" spans="1:7" x14ac:dyDescent="0.5">
      <c r="A147" t="s">
        <v>266</v>
      </c>
      <c r="B147">
        <v>74.819999999999993</v>
      </c>
      <c r="C147">
        <v>72.22</v>
      </c>
      <c r="D147">
        <v>75.989999999999995</v>
      </c>
      <c r="E147">
        <v>71.55</v>
      </c>
      <c r="F147" t="s">
        <v>1068</v>
      </c>
      <c r="G147" s="1">
        <v>2.9899999999999999E-2</v>
      </c>
    </row>
    <row r="148" spans="1:7" x14ac:dyDescent="0.5">
      <c r="A148" t="s">
        <v>268</v>
      </c>
      <c r="B148">
        <v>72.650000000000006</v>
      </c>
      <c r="C148">
        <v>67.58</v>
      </c>
      <c r="D148">
        <v>76.739999999999995</v>
      </c>
      <c r="E148">
        <v>62.21</v>
      </c>
      <c r="F148" t="s">
        <v>683</v>
      </c>
      <c r="G148" s="1">
        <v>7.9699999999999993E-2</v>
      </c>
    </row>
    <row r="149" spans="1:7" x14ac:dyDescent="0.5">
      <c r="A149" t="s">
        <v>270</v>
      </c>
      <c r="B149">
        <v>67.290000000000006</v>
      </c>
      <c r="C149">
        <v>63.23</v>
      </c>
      <c r="D149">
        <v>68</v>
      </c>
      <c r="E149">
        <v>61.79</v>
      </c>
      <c r="F149" t="s">
        <v>1069</v>
      </c>
      <c r="G149" s="1">
        <v>6.3E-2</v>
      </c>
    </row>
    <row r="150" spans="1:7" x14ac:dyDescent="0.5">
      <c r="A150" t="s">
        <v>272</v>
      </c>
      <c r="B150">
        <v>63.3</v>
      </c>
      <c r="C150">
        <v>60.43</v>
      </c>
      <c r="D150">
        <v>64.3</v>
      </c>
      <c r="E150">
        <v>56.26</v>
      </c>
      <c r="F150" t="s">
        <v>310</v>
      </c>
      <c r="G150" s="1">
        <v>5.8900000000000001E-2</v>
      </c>
    </row>
    <row r="151" spans="1:7" x14ac:dyDescent="0.5">
      <c r="A151" t="s">
        <v>274</v>
      </c>
      <c r="B151">
        <v>59.78</v>
      </c>
      <c r="C151">
        <v>60.46</v>
      </c>
      <c r="D151">
        <v>63.91</v>
      </c>
      <c r="E151">
        <v>54.66</v>
      </c>
      <c r="F151" t="s">
        <v>787</v>
      </c>
      <c r="G151" s="1">
        <v>-7.6E-3</v>
      </c>
    </row>
    <row r="152" spans="1:7" x14ac:dyDescent="0.5">
      <c r="A152" t="s">
        <v>276</v>
      </c>
      <c r="B152">
        <v>60.24</v>
      </c>
      <c r="C152">
        <v>66.959999999999994</v>
      </c>
      <c r="D152">
        <v>72.59</v>
      </c>
      <c r="E152">
        <v>57.98</v>
      </c>
      <c r="F152" t="s">
        <v>36</v>
      </c>
      <c r="G152" s="1">
        <v>-0.1201</v>
      </c>
    </row>
    <row r="153" spans="1:7" x14ac:dyDescent="0.5">
      <c r="A153" t="s">
        <v>278</v>
      </c>
      <c r="B153">
        <v>68.459999999999994</v>
      </c>
      <c r="C153">
        <v>63.03</v>
      </c>
      <c r="D153">
        <v>71.44</v>
      </c>
      <c r="E153">
        <v>60.7</v>
      </c>
      <c r="F153" t="s">
        <v>310</v>
      </c>
      <c r="G153" s="1">
        <v>9.4100000000000003E-2</v>
      </c>
    </row>
    <row r="154" spans="1:7" x14ac:dyDescent="0.5">
      <c r="A154" t="s">
        <v>280</v>
      </c>
      <c r="B154">
        <v>62.57</v>
      </c>
      <c r="C154">
        <v>54.83</v>
      </c>
      <c r="D154">
        <v>63.37</v>
      </c>
      <c r="E154">
        <v>51.85</v>
      </c>
      <c r="F154" t="s">
        <v>335</v>
      </c>
      <c r="G154" s="1">
        <v>0.1449</v>
      </c>
    </row>
    <row r="155" spans="1:7" x14ac:dyDescent="0.5">
      <c r="A155" t="s">
        <v>282</v>
      </c>
      <c r="B155">
        <v>54.65</v>
      </c>
      <c r="C155">
        <v>46.9</v>
      </c>
      <c r="D155">
        <v>58.58</v>
      </c>
      <c r="E155">
        <v>46.26</v>
      </c>
      <c r="F155" t="s">
        <v>338</v>
      </c>
      <c r="G155" s="1">
        <v>0.16250000000000001</v>
      </c>
    </row>
    <row r="156" spans="1:7" x14ac:dyDescent="0.5">
      <c r="A156" t="s">
        <v>284</v>
      </c>
      <c r="B156">
        <v>47.01</v>
      </c>
      <c r="C156">
        <v>50.85</v>
      </c>
      <c r="D156">
        <v>52.09</v>
      </c>
      <c r="E156">
        <v>43.55</v>
      </c>
      <c r="F156" t="s">
        <v>757</v>
      </c>
      <c r="G156" s="1">
        <v>-6.3600000000000004E-2</v>
      </c>
    </row>
    <row r="157" spans="1:7" x14ac:dyDescent="0.5">
      <c r="A157" t="s">
        <v>286</v>
      </c>
      <c r="B157">
        <v>50.21</v>
      </c>
      <c r="C157">
        <v>49.97</v>
      </c>
      <c r="D157">
        <v>54.83</v>
      </c>
      <c r="E157">
        <v>45.26</v>
      </c>
      <c r="F157" t="s">
        <v>1070</v>
      </c>
      <c r="G157" s="1">
        <v>-5.0000000000000001E-4</v>
      </c>
    </row>
    <row r="158" spans="1:7" x14ac:dyDescent="0.5">
      <c r="A158" t="s">
        <v>288</v>
      </c>
      <c r="B158">
        <v>50.23</v>
      </c>
      <c r="C158">
        <v>41.84</v>
      </c>
      <c r="D158">
        <v>51.6</v>
      </c>
      <c r="E158">
        <v>41.44</v>
      </c>
      <c r="F158" t="s">
        <v>385</v>
      </c>
      <c r="G158" s="1">
        <v>0.21640000000000001</v>
      </c>
    </row>
    <row r="159" spans="1:7" x14ac:dyDescent="0.5">
      <c r="A159" t="s">
        <v>290</v>
      </c>
      <c r="B159">
        <v>41.29</v>
      </c>
      <c r="C159">
        <v>37.299999999999997</v>
      </c>
      <c r="D159">
        <v>42.26</v>
      </c>
      <c r="E159">
        <v>36.020000000000003</v>
      </c>
      <c r="F159" t="s">
        <v>707</v>
      </c>
      <c r="G159" s="1">
        <v>0.1221</v>
      </c>
    </row>
    <row r="160" spans="1:7" x14ac:dyDescent="0.5">
      <c r="A160" t="s">
        <v>292</v>
      </c>
      <c r="B160">
        <v>36.799999999999997</v>
      </c>
      <c r="C160">
        <v>24.97</v>
      </c>
      <c r="D160">
        <v>38.31</v>
      </c>
      <c r="E160">
        <v>24.15</v>
      </c>
      <c r="F160" t="s">
        <v>22</v>
      </c>
      <c r="G160" s="1">
        <v>0.47910000000000003</v>
      </c>
    </row>
    <row r="161" spans="1:7" x14ac:dyDescent="0.5">
      <c r="A161" t="s">
        <v>293</v>
      </c>
      <c r="B161">
        <v>24.88</v>
      </c>
      <c r="C161">
        <v>24.26</v>
      </c>
      <c r="D161">
        <v>25.19</v>
      </c>
      <c r="E161">
        <v>22.67</v>
      </c>
      <c r="F161" t="s">
        <v>1071</v>
      </c>
      <c r="G161" s="1">
        <v>2.18E-2</v>
      </c>
    </row>
    <row r="162" spans="1:7" x14ac:dyDescent="0.5">
      <c r="A162" t="s">
        <v>295</v>
      </c>
      <c r="B162">
        <v>24.35</v>
      </c>
      <c r="C162">
        <v>27.85</v>
      </c>
      <c r="D162">
        <v>29.07</v>
      </c>
      <c r="E162">
        <v>23.26</v>
      </c>
      <c r="F162" t="s">
        <v>1072</v>
      </c>
      <c r="G162" s="1">
        <v>-0.1232</v>
      </c>
    </row>
    <row r="163" spans="1:7" x14ac:dyDescent="0.5">
      <c r="A163" t="s">
        <v>297</v>
      </c>
      <c r="B163">
        <v>27.77</v>
      </c>
      <c r="C163">
        <v>25.63</v>
      </c>
      <c r="D163">
        <v>28.1</v>
      </c>
      <c r="E163">
        <v>25.15</v>
      </c>
      <c r="F163" t="s">
        <v>1073</v>
      </c>
      <c r="G163" s="1">
        <v>8.5599999999999996E-2</v>
      </c>
    </row>
    <row r="164" spans="1:7" x14ac:dyDescent="0.5">
      <c r="A164" t="s">
        <v>299</v>
      </c>
      <c r="B164">
        <v>25.58</v>
      </c>
      <c r="C164">
        <v>27.05</v>
      </c>
      <c r="D164">
        <v>28.67</v>
      </c>
      <c r="E164">
        <v>24.72</v>
      </c>
      <c r="F164" t="s">
        <v>1074</v>
      </c>
      <c r="G164" s="1">
        <v>-6.13E-2</v>
      </c>
    </row>
    <row r="165" spans="1:7" x14ac:dyDescent="0.5">
      <c r="A165" t="s">
        <v>301</v>
      </c>
      <c r="B165">
        <v>27.25</v>
      </c>
      <c r="C165">
        <v>31.01</v>
      </c>
      <c r="D165">
        <v>31.02</v>
      </c>
      <c r="E165">
        <v>26.34</v>
      </c>
      <c r="F165" t="s">
        <v>1075</v>
      </c>
      <c r="G165" s="1">
        <v>-0.12039999999999999</v>
      </c>
    </row>
    <row r="166" spans="1:7" x14ac:dyDescent="0.5">
      <c r="A166" t="s">
        <v>303</v>
      </c>
      <c r="B166">
        <v>30.98</v>
      </c>
      <c r="C166">
        <v>27.44</v>
      </c>
      <c r="D166">
        <v>32.51</v>
      </c>
      <c r="E166">
        <v>27.42</v>
      </c>
      <c r="F166" t="s">
        <v>20</v>
      </c>
      <c r="G166" s="1">
        <v>0.1638</v>
      </c>
    </row>
    <row r="167" spans="1:7" x14ac:dyDescent="0.5">
      <c r="A167" t="s">
        <v>305</v>
      </c>
      <c r="B167">
        <v>26.62</v>
      </c>
      <c r="C167">
        <v>28</v>
      </c>
      <c r="D167">
        <v>28.88</v>
      </c>
      <c r="E167">
        <v>25.15</v>
      </c>
      <c r="F167" t="s">
        <v>30</v>
      </c>
      <c r="G167" s="1">
        <v>-4.9299999999999997E-2</v>
      </c>
    </row>
    <row r="168" spans="1:7" x14ac:dyDescent="0.5">
      <c r="A168" t="s">
        <v>307</v>
      </c>
      <c r="B168">
        <v>28</v>
      </c>
      <c r="C168">
        <v>21.08</v>
      </c>
      <c r="D168">
        <v>28</v>
      </c>
      <c r="E168">
        <v>18.87</v>
      </c>
      <c r="F168" t="s">
        <v>762</v>
      </c>
      <c r="G168" s="1">
        <v>0.32640000000000002</v>
      </c>
    </row>
    <row r="169" spans="1:7" x14ac:dyDescent="0.5">
      <c r="A169" t="s">
        <v>309</v>
      </c>
      <c r="B169">
        <v>21.11</v>
      </c>
      <c r="C169">
        <v>22.08</v>
      </c>
      <c r="D169">
        <v>24.25</v>
      </c>
      <c r="E169">
        <v>18.8</v>
      </c>
      <c r="F169" t="s">
        <v>319</v>
      </c>
      <c r="G169" s="1">
        <v>-2.5399999999999999E-2</v>
      </c>
    </row>
    <row r="170" spans="1:7" x14ac:dyDescent="0.5">
      <c r="A170" t="s">
        <v>311</v>
      </c>
      <c r="B170">
        <v>21.66</v>
      </c>
      <c r="C170">
        <v>18.079999999999998</v>
      </c>
      <c r="D170">
        <v>23.37</v>
      </c>
      <c r="E170">
        <v>17.55</v>
      </c>
      <c r="F170" t="s">
        <v>331</v>
      </c>
      <c r="G170" s="1">
        <v>0.19950000000000001</v>
      </c>
    </row>
    <row r="171" spans="1:7" x14ac:dyDescent="0.5">
      <c r="A171" t="s">
        <v>313</v>
      </c>
      <c r="B171">
        <v>18.059999999999999</v>
      </c>
      <c r="C171">
        <v>21.5</v>
      </c>
      <c r="D171">
        <v>22.45</v>
      </c>
      <c r="E171">
        <v>18.03</v>
      </c>
      <c r="F171" t="s">
        <v>327</v>
      </c>
      <c r="G171" s="1">
        <v>-0.16819999999999999</v>
      </c>
    </row>
    <row r="172" spans="1:7" x14ac:dyDescent="0.5">
      <c r="A172" t="s">
        <v>315</v>
      </c>
      <c r="B172">
        <v>21.71</v>
      </c>
      <c r="C172">
        <v>31.25</v>
      </c>
      <c r="D172">
        <v>32.880000000000003</v>
      </c>
      <c r="E172">
        <v>21.61</v>
      </c>
      <c r="F172" t="s">
        <v>1076</v>
      </c>
      <c r="G172" s="1">
        <v>-0.30180000000000001</v>
      </c>
    </row>
    <row r="173" spans="1:7" x14ac:dyDescent="0.5">
      <c r="A173" t="s">
        <v>317</v>
      </c>
      <c r="B173">
        <v>31.09</v>
      </c>
      <c r="C173">
        <v>28.89</v>
      </c>
      <c r="D173">
        <v>33.450000000000003</v>
      </c>
      <c r="E173">
        <v>25.52</v>
      </c>
      <c r="F173" t="s">
        <v>1077</v>
      </c>
      <c r="G173" s="1">
        <v>5.0500000000000003E-2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DBF5-A7D8-8142-AB7C-880B39073954}">
  <dimension ref="A1:G173"/>
  <sheetViews>
    <sheetView workbookViewId="0">
      <selection activeCell="A13" sqref="A13:XFD14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 s="2">
        <v>261000</v>
      </c>
      <c r="C2" s="2">
        <v>256500</v>
      </c>
      <c r="D2" s="2">
        <v>279000</v>
      </c>
      <c r="E2" s="2">
        <v>243000</v>
      </c>
      <c r="F2" t="s">
        <v>1544</v>
      </c>
      <c r="G2" s="1">
        <v>3.8E-3</v>
      </c>
    </row>
    <row r="3" spans="1:7" x14ac:dyDescent="0.5">
      <c r="A3" s="3">
        <v>46235</v>
      </c>
      <c r="B3" s="2">
        <v>260000</v>
      </c>
      <c r="C3" s="2">
        <v>248000</v>
      </c>
      <c r="D3" s="2">
        <v>288000</v>
      </c>
      <c r="E3" s="2">
        <v>227500</v>
      </c>
      <c r="F3" t="s">
        <v>1545</v>
      </c>
      <c r="G3" s="1">
        <v>-9.4999999999999998E-3</v>
      </c>
    </row>
    <row r="4" spans="1:7" x14ac:dyDescent="0.5">
      <c r="A4" s="3">
        <v>46204</v>
      </c>
      <c r="B4" s="2">
        <v>262500</v>
      </c>
      <c r="C4" s="2">
        <v>334500</v>
      </c>
      <c r="D4" s="2">
        <v>339000</v>
      </c>
      <c r="E4" s="2">
        <v>189200</v>
      </c>
      <c r="F4" t="s">
        <v>1546</v>
      </c>
      <c r="G4" s="1">
        <v>-0.21410000000000001</v>
      </c>
    </row>
    <row r="5" spans="1:7" x14ac:dyDescent="0.5">
      <c r="A5" s="3">
        <v>46174</v>
      </c>
      <c r="B5" s="2">
        <v>334000</v>
      </c>
      <c r="C5" s="2">
        <v>319500</v>
      </c>
      <c r="D5" s="2">
        <v>374500</v>
      </c>
      <c r="E5" s="2">
        <v>287500</v>
      </c>
      <c r="F5" t="s">
        <v>1547</v>
      </c>
      <c r="G5" s="1">
        <v>5.3600000000000002E-2</v>
      </c>
    </row>
    <row r="6" spans="1:7" x14ac:dyDescent="0.5">
      <c r="A6" s="3">
        <v>46143</v>
      </c>
      <c r="B6" s="2">
        <v>317000</v>
      </c>
      <c r="C6" s="2">
        <v>228000</v>
      </c>
      <c r="D6" s="2">
        <v>323000</v>
      </c>
      <c r="E6" s="2">
        <v>224000</v>
      </c>
      <c r="F6" t="s">
        <v>1548</v>
      </c>
      <c r="G6" s="1">
        <v>0.43759999999999999</v>
      </c>
    </row>
    <row r="7" spans="1:7" x14ac:dyDescent="0.5">
      <c r="A7" s="3">
        <v>46113</v>
      </c>
      <c r="B7" s="2">
        <v>220500</v>
      </c>
      <c r="C7" s="2">
        <v>179000</v>
      </c>
      <c r="D7" s="2">
        <v>230000</v>
      </c>
      <c r="E7" s="2">
        <v>175000</v>
      </c>
      <c r="F7" t="s">
        <v>1549</v>
      </c>
      <c r="G7" s="1">
        <v>0.31879999999999997</v>
      </c>
    </row>
    <row r="8" spans="1:7" x14ac:dyDescent="0.5">
      <c r="A8" s="3">
        <v>46082</v>
      </c>
      <c r="B8" s="2">
        <v>167200</v>
      </c>
      <c r="C8" s="2">
        <v>209500</v>
      </c>
      <c r="D8" s="2">
        <v>212500</v>
      </c>
      <c r="E8" s="2">
        <v>167000</v>
      </c>
      <c r="F8" t="s">
        <v>1550</v>
      </c>
      <c r="G8" s="1">
        <v>-0.22770000000000001</v>
      </c>
    </row>
    <row r="9" spans="1:7" x14ac:dyDescent="0.5">
      <c r="A9" s="3">
        <v>46054</v>
      </c>
      <c r="B9" s="2">
        <v>216500</v>
      </c>
      <c r="C9" s="2">
        <v>155700</v>
      </c>
      <c r="D9" s="2">
        <v>223000</v>
      </c>
      <c r="E9" s="2">
        <v>150400</v>
      </c>
      <c r="F9" t="s">
        <v>1551</v>
      </c>
      <c r="G9" s="1">
        <v>0.34889999999999999</v>
      </c>
    </row>
    <row r="10" spans="1:7" x14ac:dyDescent="0.5">
      <c r="A10" s="3">
        <v>46023</v>
      </c>
      <c r="B10" s="2">
        <v>160500</v>
      </c>
      <c r="C10" s="2">
        <v>120200</v>
      </c>
      <c r="D10" s="2">
        <v>166600</v>
      </c>
      <c r="E10" s="2">
        <v>120200</v>
      </c>
      <c r="F10" t="s">
        <v>1552</v>
      </c>
      <c r="G10" s="1">
        <v>0.33860000000000001</v>
      </c>
    </row>
    <row r="11" spans="1:7" x14ac:dyDescent="0.5">
      <c r="A11" s="3">
        <v>45992</v>
      </c>
      <c r="B11" s="2">
        <v>119900</v>
      </c>
      <c r="C11" s="2">
        <v>102000</v>
      </c>
      <c r="D11" s="2">
        <v>121200</v>
      </c>
      <c r="E11" s="2">
        <v>99900</v>
      </c>
      <c r="F11" t="s">
        <v>1553</v>
      </c>
      <c r="G11" s="1">
        <v>0.193</v>
      </c>
    </row>
    <row r="12" spans="1:7" x14ac:dyDescent="0.5">
      <c r="A12" s="3">
        <v>45962</v>
      </c>
      <c r="B12" s="2">
        <v>100500</v>
      </c>
      <c r="C12" s="2">
        <v>106900</v>
      </c>
      <c r="D12" s="2">
        <v>112400</v>
      </c>
      <c r="E12" s="2">
        <v>94500</v>
      </c>
      <c r="F12" t="s">
        <v>1554</v>
      </c>
      <c r="G12" s="1">
        <v>-6.5100000000000005E-2</v>
      </c>
    </row>
    <row r="13" spans="1:7" x14ac:dyDescent="0.5">
      <c r="A13" s="3">
        <v>45931</v>
      </c>
      <c r="B13" s="2">
        <v>107500</v>
      </c>
      <c r="C13" s="2">
        <v>84900</v>
      </c>
      <c r="D13" s="2">
        <v>108600</v>
      </c>
      <c r="E13" s="2">
        <v>84700</v>
      </c>
      <c r="F13" t="s">
        <v>1480</v>
      </c>
      <c r="G13" s="1">
        <v>0.28129999999999999</v>
      </c>
    </row>
    <row r="14" spans="1:7" x14ac:dyDescent="0.5">
      <c r="A14" s="3">
        <v>45901</v>
      </c>
      <c r="B14" s="2">
        <v>83900</v>
      </c>
      <c r="C14" s="2">
        <v>68400</v>
      </c>
      <c r="D14" s="2">
        <v>86200</v>
      </c>
      <c r="E14" s="2">
        <v>67500</v>
      </c>
      <c r="F14" t="s">
        <v>1481</v>
      </c>
      <c r="G14" s="1">
        <v>0.20369999999999999</v>
      </c>
    </row>
    <row r="15" spans="1:7" x14ac:dyDescent="0.5">
      <c r="A15" s="3">
        <v>45870</v>
      </c>
      <c r="B15" s="2">
        <v>69700</v>
      </c>
      <c r="C15" s="2">
        <v>70200</v>
      </c>
      <c r="D15" s="2">
        <v>72400</v>
      </c>
      <c r="E15" s="2">
        <v>68300</v>
      </c>
      <c r="F15" t="s">
        <v>1482</v>
      </c>
      <c r="G15" s="1">
        <v>-2.3800000000000002E-2</v>
      </c>
    </row>
    <row r="16" spans="1:7" x14ac:dyDescent="0.5">
      <c r="A16" s="3">
        <v>45839</v>
      </c>
      <c r="B16" s="2">
        <v>71400</v>
      </c>
      <c r="C16" s="2">
        <v>60400</v>
      </c>
      <c r="D16" s="2">
        <v>74000</v>
      </c>
      <c r="E16" s="2">
        <v>59800</v>
      </c>
      <c r="F16" t="s">
        <v>1483</v>
      </c>
      <c r="G16" s="1">
        <v>0.19400000000000001</v>
      </c>
    </row>
    <row r="17" spans="1:7" x14ac:dyDescent="0.5">
      <c r="A17" t="s">
        <v>7</v>
      </c>
      <c r="B17" s="2">
        <v>59800</v>
      </c>
      <c r="C17" s="2">
        <v>56300</v>
      </c>
      <c r="D17" s="2">
        <v>61600</v>
      </c>
      <c r="E17" s="2">
        <v>56200</v>
      </c>
      <c r="F17" t="s">
        <v>1078</v>
      </c>
      <c r="G17" s="1">
        <v>6.4100000000000004E-2</v>
      </c>
    </row>
    <row r="18" spans="1:7" x14ac:dyDescent="0.5">
      <c r="A18" t="s">
        <v>9</v>
      </c>
      <c r="B18" s="2">
        <v>56200</v>
      </c>
      <c r="C18" s="2">
        <v>55000</v>
      </c>
      <c r="D18" s="2">
        <v>58600</v>
      </c>
      <c r="E18" s="2">
        <v>53700</v>
      </c>
      <c r="F18" t="s">
        <v>1079</v>
      </c>
      <c r="G18" s="1">
        <v>1.26E-2</v>
      </c>
    </row>
    <row r="19" spans="1:7" x14ac:dyDescent="0.5">
      <c r="A19" t="s">
        <v>11</v>
      </c>
      <c r="B19" s="2">
        <v>55500</v>
      </c>
      <c r="C19" s="2">
        <v>58700</v>
      </c>
      <c r="D19" s="2">
        <v>59600</v>
      </c>
      <c r="E19" s="2">
        <v>52900</v>
      </c>
      <c r="F19" t="s">
        <v>1080</v>
      </c>
      <c r="G19" s="1">
        <v>-3.9800000000000002E-2</v>
      </c>
    </row>
    <row r="20" spans="1:7" x14ac:dyDescent="0.5">
      <c r="A20" t="s">
        <v>13</v>
      </c>
      <c r="B20" s="2">
        <v>57800</v>
      </c>
      <c r="C20" s="2">
        <v>53900</v>
      </c>
      <c r="D20" s="2">
        <v>62000</v>
      </c>
      <c r="E20" s="2">
        <v>52500</v>
      </c>
      <c r="F20" t="s">
        <v>1081</v>
      </c>
      <c r="G20" s="1">
        <v>6.0600000000000001E-2</v>
      </c>
    </row>
    <row r="21" spans="1:7" x14ac:dyDescent="0.5">
      <c r="A21" t="s">
        <v>15</v>
      </c>
      <c r="B21" s="2">
        <v>54500</v>
      </c>
      <c r="C21" s="2">
        <v>51100</v>
      </c>
      <c r="D21" s="2">
        <v>59100</v>
      </c>
      <c r="E21" s="2">
        <v>50800</v>
      </c>
      <c r="F21" t="s">
        <v>1082</v>
      </c>
      <c r="G21" s="1">
        <v>4.0099999999999997E-2</v>
      </c>
    </row>
    <row r="22" spans="1:7" x14ac:dyDescent="0.5">
      <c r="A22" t="s">
        <v>17</v>
      </c>
      <c r="B22" s="2">
        <v>52400</v>
      </c>
      <c r="C22" s="2">
        <v>52700</v>
      </c>
      <c r="D22" s="2">
        <v>57700</v>
      </c>
      <c r="E22" s="2">
        <v>51700</v>
      </c>
      <c r="F22" t="s">
        <v>1083</v>
      </c>
      <c r="G22" s="1">
        <v>-1.4999999999999999E-2</v>
      </c>
    </row>
    <row r="23" spans="1:7" x14ac:dyDescent="0.5">
      <c r="A23" t="s">
        <v>19</v>
      </c>
      <c r="B23" s="2">
        <v>53200</v>
      </c>
      <c r="C23" s="2">
        <v>54300</v>
      </c>
      <c r="D23" s="2">
        <v>56600</v>
      </c>
      <c r="E23" s="2">
        <v>51900</v>
      </c>
      <c r="F23" t="s">
        <v>1084</v>
      </c>
      <c r="G23" s="1">
        <v>-1.8499999999999999E-2</v>
      </c>
    </row>
    <row r="24" spans="1:7" x14ac:dyDescent="0.5">
      <c r="A24" t="s">
        <v>21</v>
      </c>
      <c r="B24" s="2">
        <v>54200</v>
      </c>
      <c r="C24" s="2">
        <v>59000</v>
      </c>
      <c r="D24" s="2">
        <v>59600</v>
      </c>
      <c r="E24" s="2">
        <v>49900</v>
      </c>
      <c r="F24" t="s">
        <v>1085</v>
      </c>
      <c r="G24" s="1">
        <v>-8.4500000000000006E-2</v>
      </c>
    </row>
    <row r="25" spans="1:7" x14ac:dyDescent="0.5">
      <c r="A25" t="s">
        <v>23</v>
      </c>
      <c r="B25" s="2">
        <v>59200</v>
      </c>
      <c r="C25" s="2">
        <v>60500</v>
      </c>
      <c r="D25" s="2">
        <v>61900</v>
      </c>
      <c r="E25" s="2">
        <v>55700</v>
      </c>
      <c r="F25" t="s">
        <v>1086</v>
      </c>
      <c r="G25" s="1">
        <v>-3.7400000000000003E-2</v>
      </c>
    </row>
    <row r="26" spans="1:7" x14ac:dyDescent="0.5">
      <c r="A26" t="s">
        <v>25</v>
      </c>
      <c r="B26" s="2">
        <v>61500</v>
      </c>
      <c r="C26" s="2">
        <v>74500</v>
      </c>
      <c r="D26" s="2">
        <v>74700</v>
      </c>
      <c r="E26" s="2">
        <v>61500</v>
      </c>
      <c r="F26" t="s">
        <v>1087</v>
      </c>
      <c r="G26" s="1">
        <v>-0.17230000000000001</v>
      </c>
    </row>
    <row r="27" spans="1:7" x14ac:dyDescent="0.5">
      <c r="A27" t="s">
        <v>27</v>
      </c>
      <c r="B27" s="2">
        <v>74300</v>
      </c>
      <c r="C27" s="2">
        <v>86000</v>
      </c>
      <c r="D27" s="2">
        <v>86100</v>
      </c>
      <c r="E27" s="2">
        <v>70200</v>
      </c>
      <c r="F27" t="s">
        <v>1088</v>
      </c>
      <c r="G27" s="1">
        <v>-0.1144</v>
      </c>
    </row>
    <row r="28" spans="1:7" x14ac:dyDescent="0.5">
      <c r="A28" t="s">
        <v>29</v>
      </c>
      <c r="B28" s="2">
        <v>83900</v>
      </c>
      <c r="C28" s="2">
        <v>81500</v>
      </c>
      <c r="D28" s="2">
        <v>88800</v>
      </c>
      <c r="E28" s="2">
        <v>80000</v>
      </c>
      <c r="F28" t="s">
        <v>1089</v>
      </c>
      <c r="G28" s="1">
        <v>2.9399999999999999E-2</v>
      </c>
    </row>
    <row r="29" spans="1:7" x14ac:dyDescent="0.5">
      <c r="A29" t="s">
        <v>31</v>
      </c>
      <c r="B29" s="2">
        <v>81500</v>
      </c>
      <c r="C29" s="2">
        <v>74400</v>
      </c>
      <c r="D29" s="2">
        <v>82500</v>
      </c>
      <c r="E29" s="2">
        <v>74200</v>
      </c>
      <c r="F29" t="s">
        <v>1090</v>
      </c>
      <c r="G29" s="1">
        <v>0.10879999999999999</v>
      </c>
    </row>
    <row r="30" spans="1:7" x14ac:dyDescent="0.5">
      <c r="A30" t="s">
        <v>33</v>
      </c>
      <c r="B30" s="2">
        <v>73500</v>
      </c>
      <c r="C30" s="2">
        <v>77600</v>
      </c>
      <c r="D30" s="2">
        <v>81500</v>
      </c>
      <c r="E30" s="2">
        <v>73500</v>
      </c>
      <c r="F30" t="s">
        <v>1091</v>
      </c>
      <c r="G30" s="1">
        <v>-5.16E-2</v>
      </c>
    </row>
    <row r="31" spans="1:7" x14ac:dyDescent="0.5">
      <c r="A31" t="s">
        <v>35</v>
      </c>
      <c r="B31" s="2">
        <v>77500</v>
      </c>
      <c r="C31" s="2">
        <v>83200</v>
      </c>
      <c r="D31" s="2">
        <v>86000</v>
      </c>
      <c r="E31" s="2">
        <v>75100</v>
      </c>
      <c r="F31" t="s">
        <v>1092</v>
      </c>
      <c r="G31" s="1">
        <v>-5.9499999999999997E-2</v>
      </c>
    </row>
    <row r="32" spans="1:7" x14ac:dyDescent="0.5">
      <c r="A32" t="s">
        <v>37</v>
      </c>
      <c r="B32" s="2">
        <v>82400</v>
      </c>
      <c r="C32" s="2">
        <v>74300</v>
      </c>
      <c r="D32" s="2">
        <v>82500</v>
      </c>
      <c r="E32" s="2">
        <v>71700</v>
      </c>
      <c r="F32" t="s">
        <v>1093</v>
      </c>
      <c r="G32" s="1">
        <v>0.1226</v>
      </c>
    </row>
    <row r="33" spans="1:7" x14ac:dyDescent="0.5">
      <c r="A33" t="s">
        <v>39</v>
      </c>
      <c r="B33" s="2">
        <v>73400</v>
      </c>
      <c r="C33" s="2">
        <v>73000</v>
      </c>
      <c r="D33" s="2">
        <v>75500</v>
      </c>
      <c r="E33" s="2">
        <v>72000</v>
      </c>
      <c r="F33" t="s">
        <v>1094</v>
      </c>
      <c r="G33" s="1">
        <v>9.5999999999999992E-3</v>
      </c>
    </row>
    <row r="34" spans="1:7" x14ac:dyDescent="0.5">
      <c r="A34" t="s">
        <v>41</v>
      </c>
      <c r="B34" s="2">
        <v>72700</v>
      </c>
      <c r="C34" s="2">
        <v>78200</v>
      </c>
      <c r="D34" s="2">
        <v>79800</v>
      </c>
      <c r="E34" s="2">
        <v>70700</v>
      </c>
      <c r="F34" t="s">
        <v>1095</v>
      </c>
      <c r="G34" s="1">
        <v>-7.3899999999999993E-2</v>
      </c>
    </row>
    <row r="35" spans="1:7" x14ac:dyDescent="0.5">
      <c r="A35" t="s">
        <v>43</v>
      </c>
      <c r="B35" s="2">
        <v>78500</v>
      </c>
      <c r="C35" s="2">
        <v>72400</v>
      </c>
      <c r="D35" s="2">
        <v>78500</v>
      </c>
      <c r="E35" s="2">
        <v>71100</v>
      </c>
      <c r="F35" t="s">
        <v>1096</v>
      </c>
      <c r="G35" s="1">
        <v>7.8299999999999995E-2</v>
      </c>
    </row>
    <row r="36" spans="1:7" x14ac:dyDescent="0.5">
      <c r="A36" t="s">
        <v>45</v>
      </c>
      <c r="B36" s="2">
        <v>72800</v>
      </c>
      <c r="C36" s="2">
        <v>67500</v>
      </c>
      <c r="D36" s="2">
        <v>73400</v>
      </c>
      <c r="E36" s="2">
        <v>67300</v>
      </c>
      <c r="F36" t="s">
        <v>1097</v>
      </c>
      <c r="G36" s="1">
        <v>8.8200000000000001E-2</v>
      </c>
    </row>
    <row r="37" spans="1:7" x14ac:dyDescent="0.5">
      <c r="A37" t="s">
        <v>47</v>
      </c>
      <c r="B37" s="2">
        <v>66900</v>
      </c>
      <c r="C37" s="2">
        <v>67400</v>
      </c>
      <c r="D37" s="2">
        <v>70500</v>
      </c>
      <c r="E37" s="2">
        <v>66000</v>
      </c>
      <c r="F37" t="s">
        <v>1098</v>
      </c>
      <c r="G37" s="1">
        <v>-2.1899999999999999E-2</v>
      </c>
    </row>
    <row r="38" spans="1:7" x14ac:dyDescent="0.5">
      <c r="A38" t="s">
        <v>49</v>
      </c>
      <c r="B38" s="2">
        <v>68400</v>
      </c>
      <c r="C38" s="2">
        <v>66800</v>
      </c>
      <c r="D38" s="2">
        <v>72900</v>
      </c>
      <c r="E38" s="2">
        <v>66700</v>
      </c>
      <c r="F38" t="s">
        <v>1099</v>
      </c>
      <c r="G38" s="1">
        <v>2.24E-2</v>
      </c>
    </row>
    <row r="39" spans="1:7" x14ac:dyDescent="0.5">
      <c r="A39" t="s">
        <v>51</v>
      </c>
      <c r="B39" s="2">
        <v>66900</v>
      </c>
      <c r="C39" s="2">
        <v>70100</v>
      </c>
      <c r="D39" s="2">
        <v>71200</v>
      </c>
      <c r="E39" s="2">
        <v>65800</v>
      </c>
      <c r="F39" t="s">
        <v>1100</v>
      </c>
      <c r="G39" s="1">
        <v>-4.1500000000000002E-2</v>
      </c>
    </row>
    <row r="40" spans="1:7" x14ac:dyDescent="0.5">
      <c r="A40" t="s">
        <v>53</v>
      </c>
      <c r="B40" s="2">
        <v>69800</v>
      </c>
      <c r="C40" s="2">
        <v>72700</v>
      </c>
      <c r="D40" s="2">
        <v>73600</v>
      </c>
      <c r="E40" s="2">
        <v>68100</v>
      </c>
      <c r="F40" t="s">
        <v>1101</v>
      </c>
      <c r="G40" s="1">
        <v>-3.32E-2</v>
      </c>
    </row>
    <row r="41" spans="1:7" x14ac:dyDescent="0.5">
      <c r="A41" t="s">
        <v>55</v>
      </c>
      <c r="B41" s="2">
        <v>72200</v>
      </c>
      <c r="C41" s="2">
        <v>70900</v>
      </c>
      <c r="D41" s="2">
        <v>73400</v>
      </c>
      <c r="E41" s="2">
        <v>70000</v>
      </c>
      <c r="F41" t="s">
        <v>1102</v>
      </c>
      <c r="G41" s="1">
        <v>1.12E-2</v>
      </c>
    </row>
    <row r="42" spans="1:7" x14ac:dyDescent="0.5">
      <c r="A42" t="s">
        <v>57</v>
      </c>
      <c r="B42" s="2">
        <v>71400</v>
      </c>
      <c r="C42" s="2">
        <v>66000</v>
      </c>
      <c r="D42" s="2">
        <v>72500</v>
      </c>
      <c r="E42" s="2">
        <v>63600</v>
      </c>
      <c r="F42" t="s">
        <v>1103</v>
      </c>
      <c r="G42" s="1">
        <v>9.01E-2</v>
      </c>
    </row>
    <row r="43" spans="1:7" x14ac:dyDescent="0.5">
      <c r="A43" t="s">
        <v>59</v>
      </c>
      <c r="B43" s="2">
        <v>65500</v>
      </c>
      <c r="C43" s="2">
        <v>64000</v>
      </c>
      <c r="D43" s="2">
        <v>66600</v>
      </c>
      <c r="E43" s="2">
        <v>62300</v>
      </c>
      <c r="F43" t="s">
        <v>1104</v>
      </c>
      <c r="G43" s="1">
        <v>2.3400000000000001E-2</v>
      </c>
    </row>
    <row r="44" spans="1:7" x14ac:dyDescent="0.5">
      <c r="A44" t="s">
        <v>61</v>
      </c>
      <c r="B44" s="2">
        <v>64000</v>
      </c>
      <c r="C44" s="2">
        <v>60900</v>
      </c>
      <c r="D44" s="2">
        <v>64000</v>
      </c>
      <c r="E44" s="2">
        <v>59000</v>
      </c>
      <c r="F44" t="s">
        <v>1105</v>
      </c>
      <c r="G44" s="1">
        <v>5.6099999999999997E-2</v>
      </c>
    </row>
    <row r="45" spans="1:7" x14ac:dyDescent="0.5">
      <c r="A45" t="s">
        <v>62</v>
      </c>
      <c r="B45" s="2">
        <v>60600</v>
      </c>
      <c r="C45" s="2">
        <v>62600</v>
      </c>
      <c r="D45" s="2">
        <v>64000</v>
      </c>
      <c r="E45" s="2">
        <v>60200</v>
      </c>
      <c r="F45" t="s">
        <v>1106</v>
      </c>
      <c r="G45" s="1">
        <v>-6.6E-3</v>
      </c>
    </row>
    <row r="46" spans="1:7" x14ac:dyDescent="0.5">
      <c r="A46" t="s">
        <v>64</v>
      </c>
      <c r="B46" s="2">
        <v>61000</v>
      </c>
      <c r="C46" s="2">
        <v>55500</v>
      </c>
      <c r="D46" s="2">
        <v>65000</v>
      </c>
      <c r="E46" s="2">
        <v>54500</v>
      </c>
      <c r="F46" t="s">
        <v>1107</v>
      </c>
      <c r="G46" s="1">
        <v>0.1031</v>
      </c>
    </row>
    <row r="47" spans="1:7" x14ac:dyDescent="0.5">
      <c r="A47" t="s">
        <v>66</v>
      </c>
      <c r="B47" s="2">
        <v>55300</v>
      </c>
      <c r="C47" s="2">
        <v>63100</v>
      </c>
      <c r="D47" s="2">
        <v>63200</v>
      </c>
      <c r="E47" s="2">
        <v>55300</v>
      </c>
      <c r="F47" t="s">
        <v>1108</v>
      </c>
      <c r="G47" s="1">
        <v>-0.1109</v>
      </c>
    </row>
    <row r="48" spans="1:7" x14ac:dyDescent="0.5">
      <c r="A48" t="s">
        <v>68</v>
      </c>
      <c r="B48" s="2">
        <v>62200</v>
      </c>
      <c r="C48" s="2">
        <v>59900</v>
      </c>
      <c r="D48" s="2">
        <v>63200</v>
      </c>
      <c r="E48" s="2">
        <v>58100</v>
      </c>
      <c r="F48" t="s">
        <v>1109</v>
      </c>
      <c r="G48" s="1">
        <v>4.7100000000000003E-2</v>
      </c>
    </row>
    <row r="49" spans="1:7" x14ac:dyDescent="0.5">
      <c r="A49" t="s">
        <v>70</v>
      </c>
      <c r="B49" s="2">
        <v>59400</v>
      </c>
      <c r="C49" s="2">
        <v>55300</v>
      </c>
      <c r="D49" s="2">
        <v>60100</v>
      </c>
      <c r="E49" s="2">
        <v>54000</v>
      </c>
      <c r="F49" t="s">
        <v>1110</v>
      </c>
      <c r="G49" s="1">
        <v>0.1186</v>
      </c>
    </row>
    <row r="50" spans="1:7" x14ac:dyDescent="0.5">
      <c r="A50" t="s">
        <v>72</v>
      </c>
      <c r="B50" s="2">
        <v>53100</v>
      </c>
      <c r="C50" s="2">
        <v>58700</v>
      </c>
      <c r="D50" s="2">
        <v>58900</v>
      </c>
      <c r="E50" s="2">
        <v>51800</v>
      </c>
      <c r="F50" t="s">
        <v>1111</v>
      </c>
      <c r="G50" s="1">
        <v>-0.1106</v>
      </c>
    </row>
    <row r="51" spans="1:7" x14ac:dyDescent="0.5">
      <c r="A51" t="s">
        <v>74</v>
      </c>
      <c r="B51" s="2">
        <v>59700</v>
      </c>
      <c r="C51" s="2">
        <v>61000</v>
      </c>
      <c r="D51" s="2">
        <v>61900</v>
      </c>
      <c r="E51" s="2">
        <v>58200</v>
      </c>
      <c r="F51" t="s">
        <v>1112</v>
      </c>
      <c r="G51" s="1">
        <v>-2.7699999999999999E-2</v>
      </c>
    </row>
    <row r="52" spans="1:7" x14ac:dyDescent="0.5">
      <c r="A52" t="s">
        <v>76</v>
      </c>
      <c r="B52" s="2">
        <v>61400</v>
      </c>
      <c r="C52" s="2">
        <v>56900</v>
      </c>
      <c r="D52" s="2">
        <v>62600</v>
      </c>
      <c r="E52" s="2">
        <v>55700</v>
      </c>
      <c r="F52" t="s">
        <v>1113</v>
      </c>
      <c r="G52" s="1">
        <v>7.7200000000000005E-2</v>
      </c>
    </row>
    <row r="53" spans="1:7" x14ac:dyDescent="0.5">
      <c r="A53" t="s">
        <v>78</v>
      </c>
      <c r="B53" s="2">
        <v>57000</v>
      </c>
      <c r="C53" s="2">
        <v>66600</v>
      </c>
      <c r="D53" s="2">
        <v>67300</v>
      </c>
      <c r="E53" s="2">
        <v>56800</v>
      </c>
      <c r="F53" t="s">
        <v>1114</v>
      </c>
      <c r="G53" s="1">
        <v>-0.15429999999999999</v>
      </c>
    </row>
    <row r="54" spans="1:7" x14ac:dyDescent="0.5">
      <c r="A54" t="s">
        <v>80</v>
      </c>
      <c r="B54" s="2">
        <v>67400</v>
      </c>
      <c r="C54" s="2">
        <v>66600</v>
      </c>
      <c r="D54" s="2">
        <v>68800</v>
      </c>
      <c r="E54" s="2">
        <v>64900</v>
      </c>
      <c r="F54" t="s">
        <v>1115</v>
      </c>
      <c r="G54" s="1">
        <v>0</v>
      </c>
    </row>
    <row r="55" spans="1:7" x14ac:dyDescent="0.5">
      <c r="A55" t="s">
        <v>82</v>
      </c>
      <c r="B55" s="2">
        <v>67400</v>
      </c>
      <c r="C55" s="2">
        <v>69500</v>
      </c>
      <c r="D55" s="2">
        <v>69600</v>
      </c>
      <c r="E55" s="2">
        <v>64500</v>
      </c>
      <c r="F55" t="s">
        <v>1116</v>
      </c>
      <c r="G55" s="1">
        <v>-3.1600000000000003E-2</v>
      </c>
    </row>
    <row r="56" spans="1:7" x14ac:dyDescent="0.5">
      <c r="A56" t="s">
        <v>84</v>
      </c>
      <c r="B56" s="2">
        <v>69600</v>
      </c>
      <c r="C56" s="2">
        <v>72300</v>
      </c>
      <c r="D56" s="2">
        <v>73100</v>
      </c>
      <c r="E56" s="2">
        <v>68700</v>
      </c>
      <c r="F56" t="s">
        <v>1117</v>
      </c>
      <c r="G56" s="1">
        <v>-3.4700000000000002E-2</v>
      </c>
    </row>
    <row r="57" spans="1:7" x14ac:dyDescent="0.5">
      <c r="A57" t="s">
        <v>86</v>
      </c>
      <c r="B57" s="2">
        <v>72100</v>
      </c>
      <c r="C57" s="2">
        <v>74900</v>
      </c>
      <c r="D57" s="2">
        <v>75800</v>
      </c>
      <c r="E57" s="2">
        <v>71000</v>
      </c>
      <c r="F57" t="s">
        <v>1118</v>
      </c>
      <c r="G57" s="1">
        <v>-1.6400000000000001E-2</v>
      </c>
    </row>
    <row r="58" spans="1:7" x14ac:dyDescent="0.5">
      <c r="A58" t="s">
        <v>88</v>
      </c>
      <c r="B58" s="2">
        <v>73300</v>
      </c>
      <c r="C58" s="2">
        <v>79400</v>
      </c>
      <c r="D58" s="2">
        <v>79800</v>
      </c>
      <c r="E58" s="2">
        <v>71200</v>
      </c>
      <c r="F58" t="s">
        <v>1119</v>
      </c>
      <c r="G58" s="1">
        <v>-6.3899999999999998E-2</v>
      </c>
    </row>
    <row r="59" spans="1:7" x14ac:dyDescent="0.5">
      <c r="A59" t="s">
        <v>90</v>
      </c>
      <c r="B59" s="2">
        <v>78300</v>
      </c>
      <c r="C59" s="2">
        <v>72000</v>
      </c>
      <c r="D59" s="2">
        <v>80800</v>
      </c>
      <c r="E59" s="2">
        <v>71600</v>
      </c>
      <c r="F59" t="s">
        <v>1120</v>
      </c>
      <c r="G59" s="1">
        <v>9.8199999999999996E-2</v>
      </c>
    </row>
    <row r="60" spans="1:7" x14ac:dyDescent="0.5">
      <c r="A60" t="s">
        <v>92</v>
      </c>
      <c r="B60" s="2">
        <v>71300</v>
      </c>
      <c r="C60" s="2">
        <v>70200</v>
      </c>
      <c r="D60" s="2">
        <v>76200</v>
      </c>
      <c r="E60" s="2">
        <v>69600</v>
      </c>
      <c r="F60" t="s">
        <v>1121</v>
      </c>
      <c r="G60" s="1">
        <v>2.1499999999999998E-2</v>
      </c>
    </row>
    <row r="61" spans="1:7" x14ac:dyDescent="0.5">
      <c r="A61" t="s">
        <v>94</v>
      </c>
      <c r="B61" s="2">
        <v>69800</v>
      </c>
      <c r="C61" s="2">
        <v>73900</v>
      </c>
      <c r="D61" s="2">
        <v>74000</v>
      </c>
      <c r="E61" s="2">
        <v>68300</v>
      </c>
      <c r="F61" t="s">
        <v>1122</v>
      </c>
      <c r="G61" s="1">
        <v>-5.8000000000000003E-2</v>
      </c>
    </row>
    <row r="62" spans="1:7" x14ac:dyDescent="0.5">
      <c r="A62" t="s">
        <v>96</v>
      </c>
      <c r="B62" s="2">
        <v>74100</v>
      </c>
      <c r="C62" s="2">
        <v>76700</v>
      </c>
      <c r="D62" s="2">
        <v>77800</v>
      </c>
      <c r="E62" s="2">
        <v>73700</v>
      </c>
      <c r="F62" t="s">
        <v>1123</v>
      </c>
      <c r="G62" s="1">
        <v>-3.39E-2</v>
      </c>
    </row>
    <row r="63" spans="1:7" x14ac:dyDescent="0.5">
      <c r="A63" t="s">
        <v>98</v>
      </c>
      <c r="B63" s="2">
        <v>76700</v>
      </c>
      <c r="C63" s="2">
        <v>79200</v>
      </c>
      <c r="D63" s="2">
        <v>83300</v>
      </c>
      <c r="E63" s="2">
        <v>72500</v>
      </c>
      <c r="F63" t="s">
        <v>1124</v>
      </c>
      <c r="G63" s="1">
        <v>-2.29E-2</v>
      </c>
    </row>
    <row r="64" spans="1:7" x14ac:dyDescent="0.5">
      <c r="A64" t="s">
        <v>100</v>
      </c>
      <c r="B64" s="2">
        <v>78500</v>
      </c>
      <c r="C64" s="2">
        <v>80500</v>
      </c>
      <c r="D64" s="2">
        <v>81300</v>
      </c>
      <c r="E64" s="2">
        <v>78100</v>
      </c>
      <c r="F64" t="s">
        <v>1125</v>
      </c>
      <c r="G64" s="1">
        <v>-2.7300000000000001E-2</v>
      </c>
    </row>
    <row r="65" spans="1:7" x14ac:dyDescent="0.5">
      <c r="A65" t="s">
        <v>102</v>
      </c>
      <c r="B65" s="2">
        <v>80700</v>
      </c>
      <c r="C65" s="2">
        <v>80500</v>
      </c>
      <c r="D65" s="2">
        <v>83000</v>
      </c>
      <c r="E65" s="2">
        <v>79600</v>
      </c>
      <c r="F65" t="s">
        <v>1126</v>
      </c>
      <c r="G65" s="1">
        <v>2.5000000000000001E-3</v>
      </c>
    </row>
    <row r="66" spans="1:7" x14ac:dyDescent="0.5">
      <c r="A66" t="s">
        <v>104</v>
      </c>
      <c r="B66" s="2">
        <v>80500</v>
      </c>
      <c r="C66" s="2">
        <v>81000</v>
      </c>
      <c r="D66" s="2">
        <v>83500</v>
      </c>
      <c r="E66" s="2">
        <v>78400</v>
      </c>
      <c r="F66" t="s">
        <v>1127</v>
      </c>
      <c r="G66" s="1">
        <v>-1.23E-2</v>
      </c>
    </row>
    <row r="67" spans="1:7" x14ac:dyDescent="0.5">
      <c r="A67" t="s">
        <v>106</v>
      </c>
      <c r="B67" s="2">
        <v>81500</v>
      </c>
      <c r="C67" s="2">
        <v>82500</v>
      </c>
      <c r="D67" s="2">
        <v>86200</v>
      </c>
      <c r="E67" s="2">
        <v>81500</v>
      </c>
      <c r="F67" t="s">
        <v>1128</v>
      </c>
      <c r="G67" s="1">
        <v>1.1999999999999999E-3</v>
      </c>
    </row>
    <row r="68" spans="1:7" x14ac:dyDescent="0.5">
      <c r="A68" t="s">
        <v>108</v>
      </c>
      <c r="B68" s="2">
        <v>81400</v>
      </c>
      <c r="C68" s="2">
        <v>85100</v>
      </c>
      <c r="D68" s="2">
        <v>85300</v>
      </c>
      <c r="E68" s="2">
        <v>80600</v>
      </c>
      <c r="F68" t="s">
        <v>1129</v>
      </c>
      <c r="G68" s="1">
        <v>-1.3299999999999999E-2</v>
      </c>
    </row>
    <row r="69" spans="1:7" x14ac:dyDescent="0.5">
      <c r="A69" t="s">
        <v>110</v>
      </c>
      <c r="B69" s="2">
        <v>82500</v>
      </c>
      <c r="C69" s="2">
        <v>81700</v>
      </c>
      <c r="D69" s="2">
        <v>86400</v>
      </c>
      <c r="E69" s="2">
        <v>81000</v>
      </c>
      <c r="F69" t="s">
        <v>1130</v>
      </c>
      <c r="G69" s="1">
        <v>6.1000000000000004E-3</v>
      </c>
    </row>
    <row r="70" spans="1:7" x14ac:dyDescent="0.5">
      <c r="A70" t="s">
        <v>112</v>
      </c>
      <c r="B70" s="2">
        <v>82000</v>
      </c>
      <c r="C70" s="2">
        <v>81000</v>
      </c>
      <c r="D70" s="2">
        <v>96800</v>
      </c>
      <c r="E70" s="2">
        <v>80200</v>
      </c>
      <c r="F70" t="s">
        <v>1131</v>
      </c>
      <c r="G70" s="1">
        <v>1.23E-2</v>
      </c>
    </row>
    <row r="71" spans="1:7" x14ac:dyDescent="0.5">
      <c r="A71" t="s">
        <v>114</v>
      </c>
      <c r="B71" s="2">
        <v>81000</v>
      </c>
      <c r="C71" s="2">
        <v>67100</v>
      </c>
      <c r="D71" s="2">
        <v>81300</v>
      </c>
      <c r="E71" s="2">
        <v>67100</v>
      </c>
      <c r="F71" t="s">
        <v>1132</v>
      </c>
      <c r="G71" s="1">
        <v>0.21440000000000001</v>
      </c>
    </row>
    <row r="72" spans="1:7" x14ac:dyDescent="0.5">
      <c r="A72" t="s">
        <v>116</v>
      </c>
      <c r="B72" s="2">
        <v>66700</v>
      </c>
      <c r="C72" s="2">
        <v>56400</v>
      </c>
      <c r="D72" s="2">
        <v>69500</v>
      </c>
      <c r="E72" s="2">
        <v>56000</v>
      </c>
      <c r="F72" t="s">
        <v>1133</v>
      </c>
      <c r="G72" s="1">
        <v>0.1784</v>
      </c>
    </row>
    <row r="73" spans="1:7" x14ac:dyDescent="0.5">
      <c r="A73" t="s">
        <v>118</v>
      </c>
      <c r="B73" s="2">
        <v>56600</v>
      </c>
      <c r="C73" s="2">
        <v>57500</v>
      </c>
      <c r="D73" s="2">
        <v>61500</v>
      </c>
      <c r="E73" s="2">
        <v>56600</v>
      </c>
      <c r="F73" t="s">
        <v>1134</v>
      </c>
      <c r="G73" s="1">
        <v>-2.75E-2</v>
      </c>
    </row>
    <row r="74" spans="1:7" x14ac:dyDescent="0.5">
      <c r="A74" t="s">
        <v>120</v>
      </c>
      <c r="B74" s="2">
        <v>58200</v>
      </c>
      <c r="C74" s="2">
        <v>54100</v>
      </c>
      <c r="D74" s="2">
        <v>61300</v>
      </c>
      <c r="E74" s="2">
        <v>54100</v>
      </c>
      <c r="F74" t="s">
        <v>1135</v>
      </c>
      <c r="G74" s="1">
        <v>7.7799999999999994E-2</v>
      </c>
    </row>
    <row r="75" spans="1:7" x14ac:dyDescent="0.5">
      <c r="A75" t="s">
        <v>122</v>
      </c>
      <c r="B75" s="2">
        <v>54000</v>
      </c>
      <c r="C75" s="2">
        <v>57800</v>
      </c>
      <c r="D75" s="2">
        <v>59900</v>
      </c>
      <c r="E75" s="2">
        <v>54000</v>
      </c>
      <c r="F75" t="s">
        <v>1136</v>
      </c>
      <c r="G75" s="1">
        <v>-6.7400000000000002E-2</v>
      </c>
    </row>
    <row r="76" spans="1:7" x14ac:dyDescent="0.5">
      <c r="A76" t="s">
        <v>124</v>
      </c>
      <c r="B76" s="2">
        <v>57900</v>
      </c>
      <c r="C76" s="2">
        <v>53400</v>
      </c>
      <c r="D76" s="2">
        <v>60400</v>
      </c>
      <c r="E76" s="2">
        <v>52100</v>
      </c>
      <c r="F76" t="s">
        <v>1137</v>
      </c>
      <c r="G76" s="1">
        <v>9.6600000000000005E-2</v>
      </c>
    </row>
    <row r="77" spans="1:7" x14ac:dyDescent="0.5">
      <c r="A77" t="s">
        <v>126</v>
      </c>
      <c r="B77" s="2">
        <v>52800</v>
      </c>
      <c r="C77" s="2">
        <v>50800</v>
      </c>
      <c r="D77" s="2">
        <v>57000</v>
      </c>
      <c r="E77" s="2">
        <v>49900</v>
      </c>
      <c r="F77" t="s">
        <v>1138</v>
      </c>
      <c r="G77" s="1">
        <v>4.1399999999999999E-2</v>
      </c>
    </row>
    <row r="78" spans="1:7" x14ac:dyDescent="0.5">
      <c r="A78" t="s">
        <v>128</v>
      </c>
      <c r="B78" s="2">
        <v>50700</v>
      </c>
      <c r="C78" s="2">
        <v>48900</v>
      </c>
      <c r="D78" s="2">
        <v>51200</v>
      </c>
      <c r="E78" s="2">
        <v>47200</v>
      </c>
      <c r="F78" t="s">
        <v>1139</v>
      </c>
      <c r="G78" s="1">
        <v>1.4E-2</v>
      </c>
    </row>
    <row r="79" spans="1:7" x14ac:dyDescent="0.5">
      <c r="A79" t="s">
        <v>130</v>
      </c>
      <c r="B79" s="2">
        <v>50000</v>
      </c>
      <c r="C79" s="2">
        <v>47450</v>
      </c>
      <c r="D79" s="2">
        <v>52000</v>
      </c>
      <c r="E79" s="2">
        <v>45350</v>
      </c>
      <c r="F79" t="s">
        <v>1140</v>
      </c>
      <c r="G79" s="1">
        <v>4.7100000000000003E-2</v>
      </c>
    </row>
    <row r="80" spans="1:7" x14ac:dyDescent="0.5">
      <c r="A80" t="s">
        <v>132</v>
      </c>
      <c r="B80" s="2">
        <v>47750</v>
      </c>
      <c r="C80" s="2">
        <v>54300</v>
      </c>
      <c r="D80" s="2">
        <v>58000</v>
      </c>
      <c r="E80" s="2">
        <v>42300</v>
      </c>
      <c r="F80" t="s">
        <v>1141</v>
      </c>
      <c r="G80" s="1">
        <v>-0.11899999999999999</v>
      </c>
    </row>
    <row r="81" spans="1:7" x14ac:dyDescent="0.5">
      <c r="A81" t="s">
        <v>134</v>
      </c>
      <c r="B81" s="2">
        <v>54200</v>
      </c>
      <c r="C81" s="2">
        <v>55500</v>
      </c>
      <c r="D81" s="2">
        <v>62000</v>
      </c>
      <c r="E81" s="2">
        <v>54200</v>
      </c>
      <c r="F81" t="s">
        <v>1142</v>
      </c>
      <c r="G81" s="1">
        <v>-3.9E-2</v>
      </c>
    </row>
    <row r="82" spans="1:7" x14ac:dyDescent="0.5">
      <c r="A82" t="s">
        <v>136</v>
      </c>
      <c r="B82" s="2">
        <v>56400</v>
      </c>
      <c r="C82" s="2">
        <v>55500</v>
      </c>
      <c r="D82" s="2">
        <v>62800</v>
      </c>
      <c r="E82" s="2">
        <v>54600</v>
      </c>
      <c r="F82" t="s">
        <v>1143</v>
      </c>
      <c r="G82" s="1">
        <v>1.0800000000000001E-2</v>
      </c>
    </row>
    <row r="83" spans="1:7" x14ac:dyDescent="0.5">
      <c r="A83" t="s">
        <v>138</v>
      </c>
      <c r="B83" s="2">
        <v>55800</v>
      </c>
      <c r="C83" s="2">
        <v>50900</v>
      </c>
      <c r="D83" s="2">
        <v>57300</v>
      </c>
      <c r="E83" s="2">
        <v>49000</v>
      </c>
      <c r="F83" t="s">
        <v>1144</v>
      </c>
      <c r="G83" s="1">
        <v>0.10929999999999999</v>
      </c>
    </row>
    <row r="84" spans="1:7" x14ac:dyDescent="0.5">
      <c r="A84" t="s">
        <v>140</v>
      </c>
      <c r="B84" s="2">
        <v>50300</v>
      </c>
      <c r="C84" s="2">
        <v>50600</v>
      </c>
      <c r="D84" s="2">
        <v>53800</v>
      </c>
      <c r="E84" s="2">
        <v>50200</v>
      </c>
      <c r="F84" t="s">
        <v>1145</v>
      </c>
      <c r="G84" s="1">
        <v>-2E-3</v>
      </c>
    </row>
    <row r="85" spans="1:7" x14ac:dyDescent="0.5">
      <c r="A85" t="s">
        <v>142</v>
      </c>
      <c r="B85" s="2">
        <v>50400</v>
      </c>
      <c r="C85" s="2">
        <v>48900</v>
      </c>
      <c r="D85" s="2">
        <v>52500</v>
      </c>
      <c r="E85" s="2">
        <v>47350</v>
      </c>
      <c r="F85" t="s">
        <v>1146</v>
      </c>
      <c r="G85" s="1">
        <v>2.75E-2</v>
      </c>
    </row>
    <row r="86" spans="1:7" x14ac:dyDescent="0.5">
      <c r="A86" t="s">
        <v>144</v>
      </c>
      <c r="B86" s="2">
        <v>49050</v>
      </c>
      <c r="C86" s="2">
        <v>44850</v>
      </c>
      <c r="D86" s="2">
        <v>49650</v>
      </c>
      <c r="E86" s="2">
        <v>43100</v>
      </c>
      <c r="F86" t="s">
        <v>1147</v>
      </c>
      <c r="G86" s="1">
        <v>0.1148</v>
      </c>
    </row>
    <row r="87" spans="1:7" x14ac:dyDescent="0.5">
      <c r="A87" t="s">
        <v>146</v>
      </c>
      <c r="B87" s="2">
        <v>44000</v>
      </c>
      <c r="C87" s="2">
        <v>44900</v>
      </c>
      <c r="D87" s="2">
        <v>45500</v>
      </c>
      <c r="E87" s="2">
        <v>42500</v>
      </c>
      <c r="F87" t="s">
        <v>1148</v>
      </c>
      <c r="G87" s="1">
        <v>-2.98E-2</v>
      </c>
    </row>
    <row r="88" spans="1:7" x14ac:dyDescent="0.5">
      <c r="A88" t="s">
        <v>148</v>
      </c>
      <c r="B88" s="2">
        <v>45350</v>
      </c>
      <c r="C88" s="2">
        <v>47350</v>
      </c>
      <c r="D88" s="2">
        <v>47550</v>
      </c>
      <c r="E88" s="2">
        <v>44350</v>
      </c>
      <c r="F88" t="s">
        <v>1149</v>
      </c>
      <c r="G88" s="1">
        <v>-3.5099999999999999E-2</v>
      </c>
    </row>
    <row r="89" spans="1:7" x14ac:dyDescent="0.5">
      <c r="A89" t="s">
        <v>150</v>
      </c>
      <c r="B89" s="2">
        <v>47000</v>
      </c>
      <c r="C89" s="2">
        <v>42950</v>
      </c>
      <c r="D89" s="2">
        <v>47000</v>
      </c>
      <c r="E89" s="2">
        <v>42500</v>
      </c>
      <c r="F89" t="s">
        <v>1150</v>
      </c>
      <c r="G89" s="1">
        <v>0.10589999999999999</v>
      </c>
    </row>
    <row r="90" spans="1:7" x14ac:dyDescent="0.5">
      <c r="A90" t="s">
        <v>152</v>
      </c>
      <c r="B90" s="2">
        <v>42500</v>
      </c>
      <c r="C90" s="2">
        <v>45500</v>
      </c>
      <c r="D90" s="2">
        <v>46150</v>
      </c>
      <c r="E90" s="2">
        <v>40850</v>
      </c>
      <c r="F90" t="s">
        <v>1151</v>
      </c>
      <c r="G90" s="1">
        <v>-7.3099999999999998E-2</v>
      </c>
    </row>
    <row r="91" spans="1:7" x14ac:dyDescent="0.5">
      <c r="A91" t="s">
        <v>154</v>
      </c>
      <c r="B91" s="2">
        <v>45850</v>
      </c>
      <c r="C91" s="2">
        <v>45200</v>
      </c>
      <c r="D91" s="2">
        <v>47600</v>
      </c>
      <c r="E91" s="2">
        <v>43800</v>
      </c>
      <c r="F91" t="s">
        <v>1152</v>
      </c>
      <c r="G91" s="1">
        <v>2.69E-2</v>
      </c>
    </row>
    <row r="92" spans="1:7" x14ac:dyDescent="0.5">
      <c r="A92" t="s">
        <v>156</v>
      </c>
      <c r="B92" s="2">
        <v>44650</v>
      </c>
      <c r="C92" s="2">
        <v>46000</v>
      </c>
      <c r="D92" s="2">
        <v>47000</v>
      </c>
      <c r="E92" s="2">
        <v>43100</v>
      </c>
      <c r="F92" t="s">
        <v>1153</v>
      </c>
      <c r="G92" s="1">
        <v>-0.01</v>
      </c>
    </row>
    <row r="93" spans="1:7" x14ac:dyDescent="0.5">
      <c r="A93" t="s">
        <v>158</v>
      </c>
      <c r="B93" s="2">
        <v>45100</v>
      </c>
      <c r="C93" s="2">
        <v>46650</v>
      </c>
      <c r="D93" s="2">
        <v>47550</v>
      </c>
      <c r="E93" s="2">
        <v>44250</v>
      </c>
      <c r="F93" t="s">
        <v>1154</v>
      </c>
      <c r="G93" s="1">
        <v>-2.2800000000000001E-2</v>
      </c>
    </row>
    <row r="94" spans="1:7" x14ac:dyDescent="0.5">
      <c r="A94" t="s">
        <v>160</v>
      </c>
      <c r="B94" s="2">
        <v>46150</v>
      </c>
      <c r="C94" s="2">
        <v>39400</v>
      </c>
      <c r="D94" s="2">
        <v>47050</v>
      </c>
      <c r="E94" s="2">
        <v>36850</v>
      </c>
      <c r="F94" t="s">
        <v>943</v>
      </c>
      <c r="G94" s="1">
        <v>0.1925</v>
      </c>
    </row>
    <row r="95" spans="1:7" x14ac:dyDescent="0.5">
      <c r="A95" t="s">
        <v>162</v>
      </c>
      <c r="B95" s="2">
        <v>38700</v>
      </c>
      <c r="C95" s="2">
        <v>42750</v>
      </c>
      <c r="D95" s="2">
        <v>43400</v>
      </c>
      <c r="E95" s="2">
        <v>38100</v>
      </c>
      <c r="F95" t="s">
        <v>1155</v>
      </c>
      <c r="G95" s="1">
        <v>-7.5300000000000006E-2</v>
      </c>
    </row>
    <row r="96" spans="1:7" x14ac:dyDescent="0.5">
      <c r="A96" t="s">
        <v>164</v>
      </c>
      <c r="B96" s="2">
        <v>41850</v>
      </c>
      <c r="C96" s="2">
        <v>42450</v>
      </c>
      <c r="D96" s="2">
        <v>45250</v>
      </c>
      <c r="E96" s="2">
        <v>41750</v>
      </c>
      <c r="F96" t="s">
        <v>1156</v>
      </c>
      <c r="G96" s="1">
        <v>-1.2999999999999999E-2</v>
      </c>
    </row>
    <row r="97" spans="1:7" x14ac:dyDescent="0.5">
      <c r="A97" t="s">
        <v>166</v>
      </c>
      <c r="B97" s="2">
        <v>42400</v>
      </c>
      <c r="C97" s="2">
        <v>46450</v>
      </c>
      <c r="D97" s="2">
        <v>46800</v>
      </c>
      <c r="E97" s="2">
        <v>40400</v>
      </c>
      <c r="F97" t="s">
        <v>1157</v>
      </c>
      <c r="G97" s="1">
        <v>-8.72E-2</v>
      </c>
    </row>
    <row r="98" spans="1:7" x14ac:dyDescent="0.5">
      <c r="A98" t="s">
        <v>168</v>
      </c>
      <c r="B98" s="2">
        <v>46450</v>
      </c>
      <c r="C98" s="2">
        <v>48200</v>
      </c>
      <c r="D98" s="2">
        <v>48300</v>
      </c>
      <c r="E98" s="2">
        <v>44000</v>
      </c>
      <c r="F98" t="s">
        <v>1158</v>
      </c>
      <c r="G98" s="1">
        <v>-4.1300000000000003E-2</v>
      </c>
    </row>
    <row r="99" spans="1:7" x14ac:dyDescent="0.5">
      <c r="A99" t="s">
        <v>170</v>
      </c>
      <c r="B99" s="2">
        <v>48450</v>
      </c>
      <c r="C99" s="2">
        <v>46050</v>
      </c>
      <c r="D99" s="2">
        <v>48450</v>
      </c>
      <c r="E99" s="2">
        <v>43500</v>
      </c>
      <c r="F99" t="s">
        <v>1159</v>
      </c>
      <c r="G99" s="1">
        <v>4.7600000000000003E-2</v>
      </c>
    </row>
    <row r="100" spans="1:7" x14ac:dyDescent="0.5">
      <c r="A100" t="s">
        <v>172</v>
      </c>
      <c r="B100" s="2">
        <v>46250</v>
      </c>
      <c r="C100" s="2">
        <v>46500</v>
      </c>
      <c r="D100" s="2">
        <v>47600</v>
      </c>
      <c r="E100" s="2">
        <v>44650</v>
      </c>
      <c r="F100" t="s">
        <v>1160</v>
      </c>
      <c r="G100" s="1">
        <v>-8.6E-3</v>
      </c>
    </row>
    <row r="101" spans="1:7" x14ac:dyDescent="0.5">
      <c r="A101" t="s">
        <v>174</v>
      </c>
      <c r="B101" s="2">
        <v>46650</v>
      </c>
      <c r="C101" s="2">
        <v>50500</v>
      </c>
      <c r="D101" s="2">
        <v>51800</v>
      </c>
      <c r="E101" s="2">
        <v>45900</v>
      </c>
      <c r="F101" t="s">
        <v>1161</v>
      </c>
      <c r="G101" s="1">
        <v>-7.9899999999999999E-2</v>
      </c>
    </row>
    <row r="102" spans="1:7" x14ac:dyDescent="0.5">
      <c r="A102" t="s">
        <v>176</v>
      </c>
      <c r="B102" s="2">
        <v>50700</v>
      </c>
      <c r="C102" s="2">
        <v>53000</v>
      </c>
      <c r="D102" s="2">
        <v>53900</v>
      </c>
      <c r="E102" s="2">
        <v>49100</v>
      </c>
      <c r="F102" t="s">
        <v>1162</v>
      </c>
      <c r="G102" s="1">
        <v>-4.3400000000000001E-2</v>
      </c>
    </row>
    <row r="103" spans="1:7" x14ac:dyDescent="0.5">
      <c r="A103" t="s">
        <v>178</v>
      </c>
      <c r="B103" s="2">
        <v>53000</v>
      </c>
      <c r="C103" s="2">
        <v>49000</v>
      </c>
      <c r="D103" s="2">
        <v>53640</v>
      </c>
      <c r="E103" s="2">
        <v>46920</v>
      </c>
      <c r="F103" t="s">
        <v>942</v>
      </c>
      <c r="G103" s="1">
        <v>7.6799999999999993E-2</v>
      </c>
    </row>
    <row r="104" spans="1:7" x14ac:dyDescent="0.5">
      <c r="A104" t="s">
        <v>180</v>
      </c>
      <c r="B104" s="2">
        <v>49220</v>
      </c>
      <c r="C104" s="2">
        <v>46580</v>
      </c>
      <c r="D104" s="2">
        <v>52020</v>
      </c>
      <c r="E104" s="2">
        <v>45080</v>
      </c>
      <c r="F104" t="s">
        <v>1163</v>
      </c>
      <c r="G104" s="1">
        <v>4.5900000000000003E-2</v>
      </c>
    </row>
    <row r="105" spans="1:7" x14ac:dyDescent="0.5">
      <c r="A105" t="s">
        <v>182</v>
      </c>
      <c r="B105" s="2">
        <v>47060</v>
      </c>
      <c r="C105" s="2">
        <v>50620</v>
      </c>
      <c r="D105" s="2">
        <v>50960</v>
      </c>
      <c r="E105" s="2">
        <v>44420</v>
      </c>
      <c r="F105" t="s">
        <v>1164</v>
      </c>
      <c r="G105" s="1">
        <v>-5.6899999999999999E-2</v>
      </c>
    </row>
    <row r="106" spans="1:7" x14ac:dyDescent="0.5">
      <c r="A106" t="s">
        <v>184</v>
      </c>
      <c r="B106" s="2">
        <v>49900</v>
      </c>
      <c r="C106" s="2">
        <v>51380</v>
      </c>
      <c r="D106" s="2">
        <v>54140</v>
      </c>
      <c r="E106" s="2">
        <v>46760</v>
      </c>
      <c r="F106" t="s">
        <v>1165</v>
      </c>
      <c r="G106" s="1">
        <v>-2.0799999999999999E-2</v>
      </c>
    </row>
    <row r="107" spans="1:7" x14ac:dyDescent="0.5">
      <c r="A107" t="s">
        <v>186</v>
      </c>
      <c r="B107" s="2">
        <v>50960</v>
      </c>
      <c r="C107" s="2">
        <v>50800</v>
      </c>
      <c r="D107" s="2">
        <v>52280</v>
      </c>
      <c r="E107" s="2">
        <v>48200</v>
      </c>
      <c r="F107" t="s">
        <v>1166</v>
      </c>
      <c r="G107" s="1">
        <v>3.0999999999999999E-3</v>
      </c>
    </row>
    <row r="108" spans="1:7" x14ac:dyDescent="0.5">
      <c r="A108" t="s">
        <v>188</v>
      </c>
      <c r="B108" s="2">
        <v>50800</v>
      </c>
      <c r="C108" s="2">
        <v>57500</v>
      </c>
      <c r="D108" s="2">
        <v>57520</v>
      </c>
      <c r="E108" s="2">
        <v>50200</v>
      </c>
      <c r="F108" t="s">
        <v>1167</v>
      </c>
      <c r="G108" s="1">
        <v>-7.7700000000000005E-2</v>
      </c>
    </row>
    <row r="109" spans="1:7" x14ac:dyDescent="0.5">
      <c r="A109" t="s">
        <v>190</v>
      </c>
      <c r="B109" s="2">
        <v>55080</v>
      </c>
      <c r="C109" s="2">
        <v>53360</v>
      </c>
      <c r="D109" s="2">
        <v>55440</v>
      </c>
      <c r="E109" s="2">
        <v>52140</v>
      </c>
      <c r="F109" t="s">
        <v>1168</v>
      </c>
      <c r="G109" s="1">
        <v>7.4099999999999999E-2</v>
      </c>
    </row>
    <row r="110" spans="1:7" x14ac:dyDescent="0.5">
      <c r="A110" t="s">
        <v>192</v>
      </c>
      <c r="B110" s="2">
        <v>51280</v>
      </c>
      <c r="C110" s="2">
        <v>46460</v>
      </c>
      <c r="D110" s="2">
        <v>53680</v>
      </c>
      <c r="E110" s="2">
        <v>45500</v>
      </c>
      <c r="F110" t="s">
        <v>1169</v>
      </c>
      <c r="G110" s="1">
        <v>0.1071</v>
      </c>
    </row>
    <row r="111" spans="1:7" x14ac:dyDescent="0.5">
      <c r="A111" t="s">
        <v>194</v>
      </c>
      <c r="B111" s="2">
        <v>46320</v>
      </c>
      <c r="C111" s="2">
        <v>48000</v>
      </c>
      <c r="D111" s="2">
        <v>49340</v>
      </c>
      <c r="E111" s="2">
        <v>44220</v>
      </c>
      <c r="F111" t="s">
        <v>1170</v>
      </c>
      <c r="G111" s="1">
        <v>-3.9E-2</v>
      </c>
    </row>
    <row r="112" spans="1:7" x14ac:dyDescent="0.5">
      <c r="A112" t="s">
        <v>196</v>
      </c>
      <c r="B112" s="2">
        <v>48200</v>
      </c>
      <c r="C112" s="2">
        <v>47500</v>
      </c>
      <c r="D112" s="2">
        <v>51320</v>
      </c>
      <c r="E112" s="2">
        <v>46780</v>
      </c>
      <c r="F112" t="s">
        <v>1171</v>
      </c>
      <c r="G112" s="1">
        <v>1.3899999999999999E-2</v>
      </c>
    </row>
    <row r="113" spans="1:7" x14ac:dyDescent="0.5">
      <c r="A113" t="s">
        <v>198</v>
      </c>
      <c r="B113" s="2">
        <v>47540</v>
      </c>
      <c r="C113" s="2">
        <v>44860</v>
      </c>
      <c r="D113" s="2">
        <v>48400</v>
      </c>
      <c r="E113" s="2">
        <v>44400</v>
      </c>
      <c r="F113" t="s">
        <v>1172</v>
      </c>
      <c r="G113" s="1">
        <v>6.3500000000000001E-2</v>
      </c>
    </row>
    <row r="114" spans="1:7" x14ac:dyDescent="0.5">
      <c r="A114" t="s">
        <v>200</v>
      </c>
      <c r="B114" s="2">
        <v>44700</v>
      </c>
      <c r="C114" s="2">
        <v>45500</v>
      </c>
      <c r="D114" s="2">
        <v>47220</v>
      </c>
      <c r="E114" s="2">
        <v>44400</v>
      </c>
      <c r="F114" t="s">
        <v>1173</v>
      </c>
      <c r="G114" s="1">
        <v>1.8E-3</v>
      </c>
    </row>
    <row r="115" spans="1:7" x14ac:dyDescent="0.5">
      <c r="A115" t="s">
        <v>202</v>
      </c>
      <c r="B115" s="2">
        <v>44620</v>
      </c>
      <c r="C115" s="2">
        <v>41400</v>
      </c>
      <c r="D115" s="2">
        <v>45800</v>
      </c>
      <c r="E115" s="2">
        <v>40080</v>
      </c>
      <c r="F115" t="s">
        <v>1174</v>
      </c>
      <c r="G115" s="1">
        <v>8.3000000000000004E-2</v>
      </c>
    </row>
    <row r="116" spans="1:7" x14ac:dyDescent="0.5">
      <c r="A116" t="s">
        <v>204</v>
      </c>
      <c r="B116" s="2">
        <v>41200</v>
      </c>
      <c r="C116" s="2">
        <v>38420</v>
      </c>
      <c r="D116" s="2">
        <v>42680</v>
      </c>
      <c r="E116" s="2">
        <v>38420</v>
      </c>
      <c r="F116" t="s">
        <v>1175</v>
      </c>
      <c r="G116" s="1">
        <v>7.1800000000000003E-2</v>
      </c>
    </row>
    <row r="117" spans="1:7" x14ac:dyDescent="0.5">
      <c r="A117" t="s">
        <v>206</v>
      </c>
      <c r="B117" s="2">
        <v>38440</v>
      </c>
      <c r="C117" s="2">
        <v>39540</v>
      </c>
      <c r="D117" s="2">
        <v>39660</v>
      </c>
      <c r="E117" s="2">
        <v>37080</v>
      </c>
      <c r="F117" t="s">
        <v>1176</v>
      </c>
      <c r="G117" s="1">
        <v>-2.58E-2</v>
      </c>
    </row>
    <row r="118" spans="1:7" x14ac:dyDescent="0.5">
      <c r="A118" t="s">
        <v>208</v>
      </c>
      <c r="B118" s="2">
        <v>39460</v>
      </c>
      <c r="C118" s="2">
        <v>35980</v>
      </c>
      <c r="D118" s="2">
        <v>40000</v>
      </c>
      <c r="E118" s="2">
        <v>35540</v>
      </c>
      <c r="F118" t="s">
        <v>1177</v>
      </c>
      <c r="G118" s="1">
        <v>9.4899999999999998E-2</v>
      </c>
    </row>
    <row r="119" spans="1:7" x14ac:dyDescent="0.5">
      <c r="A119" t="s">
        <v>210</v>
      </c>
      <c r="B119" s="2">
        <v>36040</v>
      </c>
      <c r="C119" s="2">
        <v>34800</v>
      </c>
      <c r="D119" s="2">
        <v>36600</v>
      </c>
      <c r="E119" s="2">
        <v>34140</v>
      </c>
      <c r="F119" t="s">
        <v>1178</v>
      </c>
      <c r="G119" s="1">
        <v>3.2099999999999997E-2</v>
      </c>
    </row>
    <row r="120" spans="1:7" x14ac:dyDescent="0.5">
      <c r="A120" t="s">
        <v>212</v>
      </c>
      <c r="B120" s="2">
        <v>34920</v>
      </c>
      <c r="C120" s="2">
        <v>32600</v>
      </c>
      <c r="D120" s="2">
        <v>34940</v>
      </c>
      <c r="E120" s="2">
        <v>30780</v>
      </c>
      <c r="F120" t="s">
        <v>1179</v>
      </c>
      <c r="G120" s="1">
        <v>6.5299999999999997E-2</v>
      </c>
    </row>
    <row r="121" spans="1:7" x14ac:dyDescent="0.5">
      <c r="A121" t="s">
        <v>214</v>
      </c>
      <c r="B121" s="2">
        <v>32780</v>
      </c>
      <c r="C121" s="2">
        <v>32200</v>
      </c>
      <c r="D121" s="2">
        <v>34320</v>
      </c>
      <c r="E121" s="2">
        <v>29880</v>
      </c>
      <c r="F121" t="s">
        <v>1180</v>
      </c>
      <c r="G121" s="1">
        <v>2.5700000000000001E-2</v>
      </c>
    </row>
    <row r="122" spans="1:7" x14ac:dyDescent="0.5">
      <c r="A122" t="s">
        <v>216</v>
      </c>
      <c r="B122" s="2">
        <v>31960</v>
      </c>
      <c r="C122" s="2">
        <v>31660</v>
      </c>
      <c r="D122" s="2">
        <v>33040</v>
      </c>
      <c r="E122" s="2">
        <v>29120</v>
      </c>
      <c r="F122" t="s">
        <v>1181</v>
      </c>
      <c r="G122" s="1">
        <v>-1.3599999999999999E-2</v>
      </c>
    </row>
    <row r="123" spans="1:7" x14ac:dyDescent="0.5">
      <c r="A123" t="s">
        <v>218</v>
      </c>
      <c r="B123" s="2">
        <v>32400</v>
      </c>
      <c r="C123" s="2">
        <v>31380</v>
      </c>
      <c r="D123" s="2">
        <v>33880</v>
      </c>
      <c r="E123" s="2">
        <v>30340</v>
      </c>
      <c r="F123" t="s">
        <v>1182</v>
      </c>
      <c r="G123" s="1">
        <v>5.2600000000000001E-2</v>
      </c>
    </row>
    <row r="124" spans="1:7" x14ac:dyDescent="0.5">
      <c r="A124" t="s">
        <v>220</v>
      </c>
      <c r="B124" s="2">
        <v>30780</v>
      </c>
      <c r="C124" s="2">
        <v>28540</v>
      </c>
      <c r="D124" s="2">
        <v>31140</v>
      </c>
      <c r="E124" s="2">
        <v>28240</v>
      </c>
      <c r="F124" t="s">
        <v>1183</v>
      </c>
      <c r="G124" s="1">
        <v>0.08</v>
      </c>
    </row>
    <row r="125" spans="1:7" x14ac:dyDescent="0.5">
      <c r="A125" t="s">
        <v>222</v>
      </c>
      <c r="B125" s="2">
        <v>28500</v>
      </c>
      <c r="C125" s="2">
        <v>25960</v>
      </c>
      <c r="D125" s="2">
        <v>29000</v>
      </c>
      <c r="E125" s="2">
        <v>25900</v>
      </c>
      <c r="F125" t="s">
        <v>1184</v>
      </c>
      <c r="G125" s="1">
        <v>0.10290000000000001</v>
      </c>
    </row>
    <row r="126" spans="1:7" x14ac:dyDescent="0.5">
      <c r="A126" t="s">
        <v>224</v>
      </c>
      <c r="B126" s="2">
        <v>25840</v>
      </c>
      <c r="C126" s="2">
        <v>24940</v>
      </c>
      <c r="D126" s="2">
        <v>26060</v>
      </c>
      <c r="E126" s="2">
        <v>24900</v>
      </c>
      <c r="F126" t="s">
        <v>1185</v>
      </c>
      <c r="G126" s="1">
        <v>3.78E-2</v>
      </c>
    </row>
    <row r="127" spans="1:7" x14ac:dyDescent="0.5">
      <c r="A127" t="s">
        <v>226</v>
      </c>
      <c r="B127" s="2">
        <v>24900</v>
      </c>
      <c r="C127" s="2">
        <v>25980</v>
      </c>
      <c r="D127" s="2">
        <v>26200</v>
      </c>
      <c r="E127" s="2">
        <v>24800</v>
      </c>
      <c r="F127" t="s">
        <v>1186</v>
      </c>
      <c r="G127" s="1">
        <v>-5.11E-2</v>
      </c>
    </row>
    <row r="128" spans="1:7" x14ac:dyDescent="0.5">
      <c r="A128" t="s">
        <v>228</v>
      </c>
      <c r="B128" s="2">
        <v>26240</v>
      </c>
      <c r="C128" s="2">
        <v>24000</v>
      </c>
      <c r="D128" s="2">
        <v>26420</v>
      </c>
      <c r="E128" s="2">
        <v>23540</v>
      </c>
      <c r="F128" t="s">
        <v>1187</v>
      </c>
      <c r="G128" s="1">
        <v>0.1138</v>
      </c>
    </row>
    <row r="129" spans="1:7" x14ac:dyDescent="0.5">
      <c r="A129" t="s">
        <v>230</v>
      </c>
      <c r="B129" s="2">
        <v>23560</v>
      </c>
      <c r="C129" s="2">
        <v>23040</v>
      </c>
      <c r="D129" s="2">
        <v>24060</v>
      </c>
      <c r="E129" s="2">
        <v>22360</v>
      </c>
      <c r="F129" t="s">
        <v>1188</v>
      </c>
      <c r="G129" s="1">
        <v>2.4299999999999999E-2</v>
      </c>
    </row>
    <row r="130" spans="1:7" x14ac:dyDescent="0.5">
      <c r="A130" t="s">
        <v>232</v>
      </c>
      <c r="B130" s="2">
        <v>23000</v>
      </c>
      <c r="C130" s="2">
        <v>25200</v>
      </c>
      <c r="D130" s="2">
        <v>25200</v>
      </c>
      <c r="E130" s="2">
        <v>21760</v>
      </c>
      <c r="F130" t="s">
        <v>1189</v>
      </c>
      <c r="G130" s="1">
        <v>-8.7300000000000003E-2</v>
      </c>
    </row>
    <row r="131" spans="1:7" x14ac:dyDescent="0.5">
      <c r="A131" t="s">
        <v>234</v>
      </c>
      <c r="B131" s="2">
        <v>25200</v>
      </c>
      <c r="C131" s="2">
        <v>25880</v>
      </c>
      <c r="D131" s="2">
        <v>26440</v>
      </c>
      <c r="E131" s="2">
        <v>24820</v>
      </c>
      <c r="F131" t="s">
        <v>1190</v>
      </c>
      <c r="G131" s="1">
        <v>-1.8700000000000001E-2</v>
      </c>
    </row>
    <row r="132" spans="1:7" x14ac:dyDescent="0.5">
      <c r="A132" t="s">
        <v>236</v>
      </c>
      <c r="B132" s="2">
        <v>25680</v>
      </c>
      <c r="C132" s="2">
        <v>27700</v>
      </c>
      <c r="D132" s="2">
        <v>27860</v>
      </c>
      <c r="E132" s="2">
        <v>25260</v>
      </c>
      <c r="F132" t="s">
        <v>1191</v>
      </c>
      <c r="G132" s="1">
        <v>-6.4100000000000004E-2</v>
      </c>
    </row>
    <row r="133" spans="1:7" x14ac:dyDescent="0.5">
      <c r="A133" t="s">
        <v>238</v>
      </c>
      <c r="B133" s="2">
        <v>27440</v>
      </c>
      <c r="C133" s="2">
        <v>22800</v>
      </c>
      <c r="D133" s="2">
        <v>27840</v>
      </c>
      <c r="E133" s="2">
        <v>22240</v>
      </c>
      <c r="F133" t="s">
        <v>1192</v>
      </c>
      <c r="G133" s="1">
        <v>0.2099</v>
      </c>
    </row>
    <row r="134" spans="1:7" x14ac:dyDescent="0.5">
      <c r="A134" t="s">
        <v>240</v>
      </c>
      <c r="B134" s="2">
        <v>22680</v>
      </c>
      <c r="C134" s="2">
        <v>21780</v>
      </c>
      <c r="D134" s="2">
        <v>23840</v>
      </c>
      <c r="E134" s="2">
        <v>21300</v>
      </c>
      <c r="F134" t="s">
        <v>1193</v>
      </c>
      <c r="G134" s="1">
        <v>4.1300000000000003E-2</v>
      </c>
    </row>
    <row r="135" spans="1:7" x14ac:dyDescent="0.5">
      <c r="A135" t="s">
        <v>242</v>
      </c>
      <c r="B135" s="2">
        <v>21780</v>
      </c>
      <c r="C135" s="2">
        <v>23680</v>
      </c>
      <c r="D135" s="2">
        <v>23740</v>
      </c>
      <c r="E135" s="2">
        <v>20660</v>
      </c>
      <c r="F135" t="s">
        <v>1194</v>
      </c>
      <c r="G135" s="1">
        <v>-8.1000000000000003E-2</v>
      </c>
    </row>
    <row r="136" spans="1:7" x14ac:dyDescent="0.5">
      <c r="A136" t="s">
        <v>244</v>
      </c>
      <c r="B136" s="2">
        <v>23700</v>
      </c>
      <c r="C136" s="2">
        <v>25360</v>
      </c>
      <c r="D136" s="2">
        <v>26220</v>
      </c>
      <c r="E136" s="2">
        <v>23500</v>
      </c>
      <c r="F136" t="s">
        <v>1195</v>
      </c>
      <c r="G136" s="1">
        <v>-6.5500000000000003E-2</v>
      </c>
    </row>
    <row r="137" spans="1:7" x14ac:dyDescent="0.5">
      <c r="A137" t="s">
        <v>246</v>
      </c>
      <c r="B137" s="2">
        <v>25360</v>
      </c>
      <c r="C137" s="2">
        <v>26000</v>
      </c>
      <c r="D137" s="2">
        <v>27100</v>
      </c>
      <c r="E137" s="2">
        <v>24800</v>
      </c>
      <c r="F137" t="s">
        <v>1196</v>
      </c>
      <c r="G137" s="1">
        <v>-2.98E-2</v>
      </c>
    </row>
    <row r="138" spans="1:7" x14ac:dyDescent="0.5">
      <c r="A138" t="s">
        <v>248</v>
      </c>
      <c r="B138" s="2">
        <v>26140</v>
      </c>
      <c r="C138" s="2">
        <v>28140</v>
      </c>
      <c r="D138" s="2">
        <v>28460</v>
      </c>
      <c r="E138" s="2">
        <v>25940</v>
      </c>
      <c r="F138" t="s">
        <v>1197</v>
      </c>
      <c r="G138" s="1">
        <v>-7.2999999999999995E-2</v>
      </c>
    </row>
    <row r="139" spans="1:7" x14ac:dyDescent="0.5">
      <c r="A139" t="s">
        <v>250</v>
      </c>
      <c r="B139" s="2">
        <v>28200</v>
      </c>
      <c r="C139" s="2">
        <v>28740</v>
      </c>
      <c r="D139" s="2">
        <v>29880</v>
      </c>
      <c r="E139" s="2">
        <v>27180</v>
      </c>
      <c r="F139" t="s">
        <v>1198</v>
      </c>
      <c r="G139" s="1">
        <v>-2.1499999999999998E-2</v>
      </c>
    </row>
    <row r="140" spans="1:7" x14ac:dyDescent="0.5">
      <c r="A140" t="s">
        <v>252</v>
      </c>
      <c r="B140" s="2">
        <v>28820</v>
      </c>
      <c r="C140" s="2">
        <v>27500</v>
      </c>
      <c r="D140" s="2">
        <v>30200</v>
      </c>
      <c r="E140" s="2">
        <v>27340</v>
      </c>
      <c r="F140" t="s">
        <v>1199</v>
      </c>
      <c r="G140" s="1">
        <v>6.1899999999999997E-2</v>
      </c>
    </row>
    <row r="141" spans="1:7" x14ac:dyDescent="0.5">
      <c r="A141" t="s">
        <v>254</v>
      </c>
      <c r="B141" s="2">
        <v>27140</v>
      </c>
      <c r="C141" s="2">
        <v>27300</v>
      </c>
      <c r="D141" s="2">
        <v>28000</v>
      </c>
      <c r="E141" s="2">
        <v>26620</v>
      </c>
      <c r="F141" t="s">
        <v>1200</v>
      </c>
      <c r="G141" s="1">
        <v>-5.8999999999999999E-3</v>
      </c>
    </row>
    <row r="142" spans="1:7" x14ac:dyDescent="0.5">
      <c r="A142" t="s">
        <v>256</v>
      </c>
      <c r="B142" s="2">
        <v>27300</v>
      </c>
      <c r="C142" s="2">
        <v>26800</v>
      </c>
      <c r="D142" s="2">
        <v>28000</v>
      </c>
      <c r="E142" s="2">
        <v>25640</v>
      </c>
      <c r="F142" t="s">
        <v>1201</v>
      </c>
      <c r="G142" s="1">
        <v>2.86E-2</v>
      </c>
    </row>
    <row r="143" spans="1:7" x14ac:dyDescent="0.5">
      <c r="A143" t="s">
        <v>258</v>
      </c>
      <c r="B143" s="2">
        <v>26540</v>
      </c>
      <c r="C143" s="2">
        <v>25880</v>
      </c>
      <c r="D143" s="2">
        <v>27140</v>
      </c>
      <c r="E143" s="2">
        <v>25040</v>
      </c>
      <c r="F143" t="s">
        <v>1202</v>
      </c>
      <c r="G143" s="1">
        <v>3.1099999999999999E-2</v>
      </c>
    </row>
    <row r="144" spans="1:7" x14ac:dyDescent="0.5">
      <c r="A144" t="s">
        <v>260</v>
      </c>
      <c r="B144" s="2">
        <v>25740</v>
      </c>
      <c r="C144" s="2">
        <v>25000</v>
      </c>
      <c r="D144" s="2">
        <v>26020</v>
      </c>
      <c r="E144" s="2">
        <v>23600</v>
      </c>
      <c r="F144" t="s">
        <v>1203</v>
      </c>
      <c r="G144" s="1">
        <v>3.4599999999999999E-2</v>
      </c>
    </row>
    <row r="145" spans="1:7" x14ac:dyDescent="0.5">
      <c r="A145" t="s">
        <v>262</v>
      </c>
      <c r="B145" s="2">
        <v>24880</v>
      </c>
      <c r="C145" s="2">
        <v>23480</v>
      </c>
      <c r="D145" s="2">
        <v>25000</v>
      </c>
      <c r="E145" s="2">
        <v>21560</v>
      </c>
      <c r="F145" t="s">
        <v>1204</v>
      </c>
      <c r="G145" s="1">
        <v>5.0700000000000002E-2</v>
      </c>
    </row>
    <row r="146" spans="1:7" x14ac:dyDescent="0.5">
      <c r="A146" t="s">
        <v>264</v>
      </c>
      <c r="B146" s="2">
        <v>23680</v>
      </c>
      <c r="C146" s="2">
        <v>24720</v>
      </c>
      <c r="D146" s="2">
        <v>24740</v>
      </c>
      <c r="E146" s="2">
        <v>22820</v>
      </c>
      <c r="F146" t="s">
        <v>1205</v>
      </c>
      <c r="G146" s="1">
        <v>-4.0500000000000001E-2</v>
      </c>
    </row>
    <row r="147" spans="1:7" x14ac:dyDescent="0.5">
      <c r="A147" t="s">
        <v>266</v>
      </c>
      <c r="B147" s="2">
        <v>24680</v>
      </c>
      <c r="C147" s="2">
        <v>26100</v>
      </c>
      <c r="D147" s="2">
        <v>26560</v>
      </c>
      <c r="E147" s="2">
        <v>24420</v>
      </c>
      <c r="F147" t="s">
        <v>1206</v>
      </c>
      <c r="G147" s="1">
        <v>-8.1199999999999994E-2</v>
      </c>
    </row>
    <row r="148" spans="1:7" x14ac:dyDescent="0.5">
      <c r="A148" t="s">
        <v>268</v>
      </c>
      <c r="B148" s="2">
        <v>26860</v>
      </c>
      <c r="C148" s="2">
        <v>26160</v>
      </c>
      <c r="D148" s="2">
        <v>28160</v>
      </c>
      <c r="E148" s="2">
        <v>25640</v>
      </c>
      <c r="F148" t="s">
        <v>1207</v>
      </c>
      <c r="G148" s="1">
        <v>1.5900000000000001E-2</v>
      </c>
    </row>
    <row r="149" spans="1:7" x14ac:dyDescent="0.5">
      <c r="A149" t="s">
        <v>270</v>
      </c>
      <c r="B149" s="2">
        <v>26440</v>
      </c>
      <c r="C149" s="2">
        <v>28860</v>
      </c>
      <c r="D149" s="2">
        <v>29900</v>
      </c>
      <c r="E149" s="2">
        <v>25920</v>
      </c>
      <c r="F149" t="s">
        <v>1208</v>
      </c>
      <c r="G149" s="1">
        <v>-8.3900000000000002E-2</v>
      </c>
    </row>
    <row r="150" spans="1:7" x14ac:dyDescent="0.5">
      <c r="A150" t="s">
        <v>272</v>
      </c>
      <c r="B150" s="2">
        <v>28860</v>
      </c>
      <c r="C150" s="2">
        <v>27080</v>
      </c>
      <c r="D150" s="2">
        <v>29640</v>
      </c>
      <c r="E150" s="2">
        <v>26520</v>
      </c>
      <c r="F150" t="s">
        <v>1209</v>
      </c>
      <c r="G150" s="1">
        <v>7.4499999999999997E-2</v>
      </c>
    </row>
    <row r="151" spans="1:7" x14ac:dyDescent="0.5">
      <c r="A151" t="s">
        <v>274</v>
      </c>
      <c r="B151" s="2">
        <v>26860</v>
      </c>
      <c r="C151" s="2">
        <v>26900</v>
      </c>
      <c r="D151" s="2">
        <v>28560</v>
      </c>
      <c r="E151" s="2">
        <v>26520</v>
      </c>
      <c r="F151" t="s">
        <v>1210</v>
      </c>
      <c r="G151" s="1">
        <v>0</v>
      </c>
    </row>
    <row r="152" spans="1:7" x14ac:dyDescent="0.5">
      <c r="A152" t="s">
        <v>276</v>
      </c>
      <c r="B152" s="2">
        <v>26860</v>
      </c>
      <c r="C152" s="2">
        <v>26720</v>
      </c>
      <c r="D152" s="2">
        <v>26900</v>
      </c>
      <c r="E152" s="2">
        <v>24820</v>
      </c>
      <c r="F152" t="s">
        <v>1211</v>
      </c>
      <c r="G152" s="1">
        <v>-4.4000000000000003E-3</v>
      </c>
    </row>
    <row r="153" spans="1:7" x14ac:dyDescent="0.5">
      <c r="A153" t="s">
        <v>278</v>
      </c>
      <c r="B153" s="2">
        <v>26980</v>
      </c>
      <c r="C153" s="2">
        <v>25720</v>
      </c>
      <c r="D153" s="2">
        <v>26980</v>
      </c>
      <c r="E153" s="2">
        <v>24680</v>
      </c>
      <c r="F153" t="s">
        <v>1212</v>
      </c>
      <c r="G153" s="1">
        <v>5.3900000000000003E-2</v>
      </c>
    </row>
    <row r="154" spans="1:7" x14ac:dyDescent="0.5">
      <c r="A154" t="s">
        <v>280</v>
      </c>
      <c r="B154" s="2">
        <v>25600</v>
      </c>
      <c r="C154" s="2">
        <v>26960</v>
      </c>
      <c r="D154" s="2">
        <v>27100</v>
      </c>
      <c r="E154" s="2">
        <v>25440</v>
      </c>
      <c r="F154" t="s">
        <v>1213</v>
      </c>
      <c r="G154" s="1">
        <v>-6.7100000000000007E-2</v>
      </c>
    </row>
    <row r="155" spans="1:7" x14ac:dyDescent="0.5">
      <c r="A155" t="s">
        <v>282</v>
      </c>
      <c r="B155" s="2">
        <v>27440</v>
      </c>
      <c r="C155" s="2">
        <v>30000</v>
      </c>
      <c r="D155" s="2">
        <v>30060</v>
      </c>
      <c r="E155" s="2">
        <v>27200</v>
      </c>
      <c r="F155" t="s">
        <v>1214</v>
      </c>
      <c r="G155" s="1">
        <v>-8.1699999999999995E-2</v>
      </c>
    </row>
    <row r="156" spans="1:7" x14ac:dyDescent="0.5">
      <c r="A156" t="s">
        <v>284</v>
      </c>
      <c r="B156" s="2">
        <v>29880</v>
      </c>
      <c r="C156" s="2">
        <v>29800</v>
      </c>
      <c r="D156" s="2">
        <v>30040</v>
      </c>
      <c r="E156" s="2">
        <v>28140</v>
      </c>
      <c r="F156" t="s">
        <v>1215</v>
      </c>
      <c r="G156" s="1">
        <v>1.9800000000000002E-2</v>
      </c>
    </row>
    <row r="157" spans="1:7" x14ac:dyDescent="0.5">
      <c r="A157" t="s">
        <v>286</v>
      </c>
      <c r="B157" s="2">
        <v>29300</v>
      </c>
      <c r="C157" s="2">
        <v>27600</v>
      </c>
      <c r="D157" s="2">
        <v>30040</v>
      </c>
      <c r="E157" s="2">
        <v>27200</v>
      </c>
      <c r="F157" t="s">
        <v>1216</v>
      </c>
      <c r="G157" s="1">
        <v>7.17E-2</v>
      </c>
    </row>
    <row r="158" spans="1:7" x14ac:dyDescent="0.5">
      <c r="A158" t="s">
        <v>288</v>
      </c>
      <c r="B158" s="2">
        <v>27340</v>
      </c>
      <c r="C158" s="2">
        <v>27360</v>
      </c>
      <c r="D158" s="2">
        <v>28500</v>
      </c>
      <c r="E158" s="2">
        <v>26420</v>
      </c>
      <c r="F158" t="s">
        <v>1217</v>
      </c>
      <c r="G158" s="1">
        <v>-6.9999999999999999E-4</v>
      </c>
    </row>
    <row r="159" spans="1:7" x14ac:dyDescent="0.5">
      <c r="A159" t="s">
        <v>290</v>
      </c>
      <c r="B159" s="2">
        <v>27360</v>
      </c>
      <c r="C159" s="2">
        <v>25700</v>
      </c>
      <c r="D159" s="2">
        <v>27360</v>
      </c>
      <c r="E159" s="2">
        <v>24260</v>
      </c>
      <c r="F159" t="s">
        <v>1218</v>
      </c>
      <c r="G159" s="1">
        <v>6.88E-2</v>
      </c>
    </row>
    <row r="160" spans="1:7" x14ac:dyDescent="0.5">
      <c r="A160" t="s">
        <v>292</v>
      </c>
      <c r="B160" s="2">
        <v>25600</v>
      </c>
      <c r="C160" s="2">
        <v>26680</v>
      </c>
      <c r="D160" s="2">
        <v>27040</v>
      </c>
      <c r="E160" s="2">
        <v>24180</v>
      </c>
      <c r="F160" t="s">
        <v>1219</v>
      </c>
      <c r="G160" s="1">
        <v>-4.6199999999999998E-2</v>
      </c>
    </row>
    <row r="161" spans="1:7" x14ac:dyDescent="0.5">
      <c r="A161" t="s">
        <v>293</v>
      </c>
      <c r="B161" s="2">
        <v>26840</v>
      </c>
      <c r="C161" s="2">
        <v>30720</v>
      </c>
      <c r="D161" s="2">
        <v>31180</v>
      </c>
      <c r="E161" s="2">
        <v>24900</v>
      </c>
      <c r="F161" t="s">
        <v>1220</v>
      </c>
      <c r="G161" s="1">
        <v>-0.12740000000000001</v>
      </c>
    </row>
    <row r="162" spans="1:7" x14ac:dyDescent="0.5">
      <c r="A162" t="s">
        <v>295</v>
      </c>
      <c r="B162" s="2">
        <v>30760</v>
      </c>
      <c r="C162" s="2">
        <v>30520</v>
      </c>
      <c r="D162" s="2">
        <v>31180</v>
      </c>
      <c r="E162" s="2">
        <v>29240</v>
      </c>
      <c r="F162" t="s">
        <v>1221</v>
      </c>
      <c r="G162" s="1">
        <v>1.18E-2</v>
      </c>
    </row>
    <row r="163" spans="1:7" x14ac:dyDescent="0.5">
      <c r="A163" t="s">
        <v>297</v>
      </c>
      <c r="B163" s="2">
        <v>30400</v>
      </c>
      <c r="C163" s="2">
        <v>30700</v>
      </c>
      <c r="D163" s="2">
        <v>31320</v>
      </c>
      <c r="E163" s="2">
        <v>29100</v>
      </c>
      <c r="F163" t="s">
        <v>1222</v>
      </c>
      <c r="G163" s="1">
        <v>-4.5999999999999999E-3</v>
      </c>
    </row>
    <row r="164" spans="1:7" x14ac:dyDescent="0.5">
      <c r="A164" t="s">
        <v>299</v>
      </c>
      <c r="B164" s="2">
        <v>30540</v>
      </c>
      <c r="C164" s="2">
        <v>31260</v>
      </c>
      <c r="D164" s="2">
        <v>31500</v>
      </c>
      <c r="E164" s="2">
        <v>28680</v>
      </c>
      <c r="F164" t="s">
        <v>1223</v>
      </c>
      <c r="G164" s="1">
        <v>-1.0999999999999999E-2</v>
      </c>
    </row>
    <row r="165" spans="1:7" x14ac:dyDescent="0.5">
      <c r="A165" t="s">
        <v>301</v>
      </c>
      <c r="B165" s="2">
        <v>30880</v>
      </c>
      <c r="C165" s="2">
        <v>29200</v>
      </c>
      <c r="D165" s="2">
        <v>31180</v>
      </c>
      <c r="E165" s="2">
        <v>28280</v>
      </c>
      <c r="F165" t="s">
        <v>1224</v>
      </c>
      <c r="G165" s="1">
        <v>6.6299999999999998E-2</v>
      </c>
    </row>
    <row r="166" spans="1:7" x14ac:dyDescent="0.5">
      <c r="A166" t="s">
        <v>303</v>
      </c>
      <c r="B166" s="2">
        <v>28960</v>
      </c>
      <c r="C166" s="2">
        <v>30660</v>
      </c>
      <c r="D166" s="2">
        <v>31680</v>
      </c>
      <c r="E166" s="2">
        <v>27420</v>
      </c>
      <c r="F166" t="s">
        <v>1225</v>
      </c>
      <c r="G166" s="1">
        <v>-4.8599999999999997E-2</v>
      </c>
    </row>
    <row r="167" spans="1:7" x14ac:dyDescent="0.5">
      <c r="A167" t="s">
        <v>305</v>
      </c>
      <c r="B167" s="2">
        <v>30440</v>
      </c>
      <c r="C167" s="2">
        <v>28400</v>
      </c>
      <c r="D167" s="2">
        <v>30720</v>
      </c>
      <c r="E167" s="2">
        <v>28160</v>
      </c>
      <c r="F167" t="s">
        <v>1226</v>
      </c>
      <c r="G167" s="1">
        <v>8.2500000000000004E-2</v>
      </c>
    </row>
    <row r="168" spans="1:7" x14ac:dyDescent="0.5">
      <c r="A168" t="s">
        <v>307</v>
      </c>
      <c r="B168" s="2">
        <v>28120</v>
      </c>
      <c r="C168" s="2">
        <v>25900</v>
      </c>
      <c r="D168" s="2">
        <v>28860</v>
      </c>
      <c r="E168" s="2">
        <v>25800</v>
      </c>
      <c r="F168" t="s">
        <v>1227</v>
      </c>
      <c r="G168" s="1">
        <v>7.3300000000000004E-2</v>
      </c>
    </row>
    <row r="169" spans="1:7" x14ac:dyDescent="0.5">
      <c r="A169" t="s">
        <v>309</v>
      </c>
      <c r="B169" s="2">
        <v>26200</v>
      </c>
      <c r="C169" s="2">
        <v>27080</v>
      </c>
      <c r="D169" s="2">
        <v>27800</v>
      </c>
      <c r="E169" s="2">
        <v>25520</v>
      </c>
      <c r="F169" t="s">
        <v>1228</v>
      </c>
      <c r="G169" s="1">
        <v>-2.6700000000000002E-2</v>
      </c>
    </row>
    <row r="170" spans="1:7" x14ac:dyDescent="0.5">
      <c r="A170" t="s">
        <v>311</v>
      </c>
      <c r="B170" s="2">
        <v>26920</v>
      </c>
      <c r="C170" s="2">
        <v>24400</v>
      </c>
      <c r="D170" s="2">
        <v>27200</v>
      </c>
      <c r="E170" s="2">
        <v>23780</v>
      </c>
      <c r="F170" t="s">
        <v>1229</v>
      </c>
      <c r="G170" s="1">
        <v>9.1600000000000001E-2</v>
      </c>
    </row>
    <row r="171" spans="1:7" x14ac:dyDescent="0.5">
      <c r="A171" t="s">
        <v>313</v>
      </c>
      <c r="B171" s="2">
        <v>24660</v>
      </c>
      <c r="C171" s="2">
        <v>25840</v>
      </c>
      <c r="D171" s="2">
        <v>27100</v>
      </c>
      <c r="E171" s="2">
        <v>23460</v>
      </c>
      <c r="F171" t="s">
        <v>1230</v>
      </c>
      <c r="G171" s="1">
        <v>-5.8099999999999999E-2</v>
      </c>
    </row>
    <row r="172" spans="1:7" x14ac:dyDescent="0.5">
      <c r="A172" t="s">
        <v>315</v>
      </c>
      <c r="B172" s="2">
        <v>26180</v>
      </c>
      <c r="C172" s="2">
        <v>24160</v>
      </c>
      <c r="D172" s="2">
        <v>26680</v>
      </c>
      <c r="E172" s="2">
        <v>21820</v>
      </c>
      <c r="F172" t="s">
        <v>1231</v>
      </c>
      <c r="G172" s="1">
        <v>8.9899999999999994E-2</v>
      </c>
    </row>
    <row r="173" spans="1:7" x14ac:dyDescent="0.5">
      <c r="A173" t="s">
        <v>317</v>
      </c>
      <c r="B173" s="2">
        <v>24020</v>
      </c>
      <c r="C173" s="2">
        <v>24260</v>
      </c>
      <c r="D173" s="2">
        <v>25500</v>
      </c>
      <c r="E173" s="2">
        <v>22560</v>
      </c>
      <c r="F173" t="s">
        <v>1232</v>
      </c>
      <c r="G173" s="1">
        <v>-8.3000000000000001E-3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32C3-234A-3B47-90A9-2CBCB6ADEDF6}">
  <dimension ref="A1:G173"/>
  <sheetViews>
    <sheetView workbookViewId="0">
      <selection activeCell="A10" sqref="A10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364.27</v>
      </c>
      <c r="C2">
        <v>360.9</v>
      </c>
      <c r="D2">
        <v>384.04</v>
      </c>
      <c r="E2">
        <v>349.92</v>
      </c>
      <c r="F2" t="s">
        <v>1555</v>
      </c>
      <c r="G2" s="1">
        <v>-0.01</v>
      </c>
    </row>
    <row r="3" spans="1:7" x14ac:dyDescent="0.5">
      <c r="A3" s="3">
        <v>46235</v>
      </c>
      <c r="B3">
        <v>367.95</v>
      </c>
      <c r="C3">
        <v>310.95999999999998</v>
      </c>
      <c r="D3">
        <v>368.92</v>
      </c>
      <c r="E3">
        <v>310.42</v>
      </c>
      <c r="F3" t="s">
        <v>1556</v>
      </c>
      <c r="G3" s="1">
        <v>0.18229999999999999</v>
      </c>
    </row>
    <row r="4" spans="1:7" x14ac:dyDescent="0.5">
      <c r="A4" s="3">
        <v>46204</v>
      </c>
      <c r="B4">
        <v>311.20999999999998</v>
      </c>
      <c r="C4">
        <v>421.46</v>
      </c>
      <c r="D4">
        <v>432.86</v>
      </c>
      <c r="E4">
        <v>297.38</v>
      </c>
      <c r="F4" t="s">
        <v>1557</v>
      </c>
      <c r="G4" s="1">
        <v>-0.2601</v>
      </c>
    </row>
    <row r="5" spans="1:7" x14ac:dyDescent="0.5">
      <c r="A5" s="3">
        <v>46174</v>
      </c>
      <c r="B5">
        <v>420.6</v>
      </c>
      <c r="C5">
        <v>427.49</v>
      </c>
      <c r="D5">
        <v>433.6</v>
      </c>
      <c r="E5">
        <v>368.6</v>
      </c>
      <c r="F5" t="s">
        <v>42</v>
      </c>
      <c r="G5" s="1">
        <v>-3.49E-2</v>
      </c>
    </row>
    <row r="6" spans="1:7" x14ac:dyDescent="0.5">
      <c r="A6" s="3">
        <v>46143</v>
      </c>
      <c r="B6">
        <v>435.79</v>
      </c>
      <c r="C6">
        <v>382.48</v>
      </c>
      <c r="D6">
        <v>453.4</v>
      </c>
      <c r="E6">
        <v>378.8</v>
      </c>
      <c r="F6" t="s">
        <v>586</v>
      </c>
      <c r="G6" s="1">
        <v>0.1419</v>
      </c>
    </row>
    <row r="7" spans="1:7" x14ac:dyDescent="0.5">
      <c r="A7" s="3">
        <v>46113</v>
      </c>
      <c r="B7">
        <v>381.63</v>
      </c>
      <c r="C7">
        <v>378.63</v>
      </c>
      <c r="D7">
        <v>409.28</v>
      </c>
      <c r="E7">
        <v>337.24</v>
      </c>
      <c r="F7" t="s">
        <v>790</v>
      </c>
      <c r="G7" s="1">
        <v>2.6599999999999999E-2</v>
      </c>
    </row>
    <row r="8" spans="1:7" x14ac:dyDescent="0.5">
      <c r="A8" s="3">
        <v>46082</v>
      </c>
      <c r="B8">
        <v>371.75</v>
      </c>
      <c r="C8">
        <v>390.6</v>
      </c>
      <c r="D8">
        <v>416.38</v>
      </c>
      <c r="E8">
        <v>352.14</v>
      </c>
      <c r="F8" t="s">
        <v>757</v>
      </c>
      <c r="G8" s="1">
        <v>-7.6399999999999996E-2</v>
      </c>
    </row>
    <row r="9" spans="1:7" x14ac:dyDescent="0.5">
      <c r="A9" s="3">
        <v>46054</v>
      </c>
      <c r="B9">
        <v>402.51</v>
      </c>
      <c r="C9">
        <v>421.29</v>
      </c>
      <c r="D9">
        <v>436.35</v>
      </c>
      <c r="E9">
        <v>387.53</v>
      </c>
      <c r="F9" t="s">
        <v>310</v>
      </c>
      <c r="G9" s="1">
        <v>-6.4799999999999996E-2</v>
      </c>
    </row>
    <row r="10" spans="1:7" x14ac:dyDescent="0.5">
      <c r="A10" s="3">
        <v>46023</v>
      </c>
      <c r="B10">
        <v>430.41</v>
      </c>
      <c r="C10">
        <v>457.8</v>
      </c>
      <c r="D10">
        <v>458.34</v>
      </c>
      <c r="E10">
        <v>414.62</v>
      </c>
      <c r="F10" t="s">
        <v>336</v>
      </c>
      <c r="G10" s="1">
        <v>-4.2900000000000001E-2</v>
      </c>
    </row>
    <row r="11" spans="1:7" x14ac:dyDescent="0.5">
      <c r="A11" s="3">
        <v>45992</v>
      </c>
      <c r="B11">
        <v>449.72</v>
      </c>
      <c r="C11">
        <v>425.32</v>
      </c>
      <c r="D11">
        <v>498.83</v>
      </c>
      <c r="E11">
        <v>422.12</v>
      </c>
      <c r="F11" t="s">
        <v>1273</v>
      </c>
      <c r="G11" s="1">
        <v>4.5400000000000003E-2</v>
      </c>
    </row>
    <row r="12" spans="1:7" x14ac:dyDescent="0.5">
      <c r="A12" s="3">
        <v>45962</v>
      </c>
      <c r="B12">
        <v>430.17</v>
      </c>
      <c r="C12">
        <v>455.99</v>
      </c>
      <c r="D12">
        <v>474.07</v>
      </c>
      <c r="E12">
        <v>382.78</v>
      </c>
      <c r="F12" t="s">
        <v>348</v>
      </c>
      <c r="G12" s="1">
        <v>-5.7799999999999997E-2</v>
      </c>
    </row>
    <row r="13" spans="1:7" x14ac:dyDescent="0.5">
      <c r="A13" s="3">
        <v>45931</v>
      </c>
      <c r="B13">
        <v>456.56</v>
      </c>
      <c r="C13">
        <v>443.8</v>
      </c>
      <c r="D13">
        <v>470.75</v>
      </c>
      <c r="E13">
        <v>411.45</v>
      </c>
      <c r="F13" t="s">
        <v>1070</v>
      </c>
      <c r="G13" s="1">
        <v>2.6599999999999999E-2</v>
      </c>
    </row>
    <row r="14" spans="1:7" x14ac:dyDescent="0.5">
      <c r="A14" s="3">
        <v>45901</v>
      </c>
      <c r="B14">
        <v>444.72</v>
      </c>
      <c r="C14">
        <v>328.23</v>
      </c>
      <c r="D14">
        <v>450.98</v>
      </c>
      <c r="E14">
        <v>325.60000000000002</v>
      </c>
      <c r="F14" t="s">
        <v>1484</v>
      </c>
      <c r="G14" s="1">
        <v>0.33200000000000002</v>
      </c>
    </row>
    <row r="15" spans="1:7" x14ac:dyDescent="0.5">
      <c r="A15" s="3">
        <v>45870</v>
      </c>
      <c r="B15">
        <v>333.87</v>
      </c>
      <c r="C15">
        <v>306.2</v>
      </c>
      <c r="D15">
        <v>355.39</v>
      </c>
      <c r="E15">
        <v>297.82</v>
      </c>
      <c r="F15" t="s">
        <v>774</v>
      </c>
      <c r="G15" s="1">
        <v>8.3000000000000004E-2</v>
      </c>
    </row>
    <row r="16" spans="1:7" x14ac:dyDescent="0.5">
      <c r="A16" s="3">
        <v>45839</v>
      </c>
      <c r="B16">
        <v>308.27</v>
      </c>
      <c r="C16">
        <v>298.45999999999998</v>
      </c>
      <c r="D16">
        <v>338</v>
      </c>
      <c r="E16">
        <v>288.77</v>
      </c>
      <c r="F16" t="s">
        <v>1485</v>
      </c>
      <c r="G16" s="1">
        <v>-2.9600000000000001E-2</v>
      </c>
    </row>
    <row r="17" spans="1:7" x14ac:dyDescent="0.5">
      <c r="A17" t="s">
        <v>7</v>
      </c>
      <c r="B17">
        <v>317.66000000000003</v>
      </c>
      <c r="C17">
        <v>343.5</v>
      </c>
      <c r="D17">
        <v>357.54</v>
      </c>
      <c r="E17">
        <v>273.20999999999998</v>
      </c>
      <c r="F17" t="s">
        <v>1233</v>
      </c>
      <c r="G17" s="1">
        <v>-8.3099999999999993E-2</v>
      </c>
    </row>
    <row r="18" spans="1:7" x14ac:dyDescent="0.5">
      <c r="A18" t="s">
        <v>9</v>
      </c>
      <c r="B18">
        <v>346.46</v>
      </c>
      <c r="C18">
        <v>280.01</v>
      </c>
      <c r="D18">
        <v>367.71</v>
      </c>
      <c r="E18">
        <v>271</v>
      </c>
      <c r="F18" t="s">
        <v>14</v>
      </c>
      <c r="G18" s="1">
        <v>0.22789999999999999</v>
      </c>
    </row>
    <row r="19" spans="1:7" x14ac:dyDescent="0.5">
      <c r="A19" t="s">
        <v>11</v>
      </c>
      <c r="B19">
        <v>282.16000000000003</v>
      </c>
      <c r="C19">
        <v>263.8</v>
      </c>
      <c r="D19">
        <v>294.86</v>
      </c>
      <c r="E19">
        <v>214.25</v>
      </c>
      <c r="F19" t="s">
        <v>376</v>
      </c>
      <c r="G19" s="1">
        <v>8.8700000000000001E-2</v>
      </c>
    </row>
    <row r="20" spans="1:7" x14ac:dyDescent="0.5">
      <c r="A20" t="s">
        <v>13</v>
      </c>
      <c r="B20">
        <v>259.16000000000003</v>
      </c>
      <c r="C20">
        <v>300.33999999999997</v>
      </c>
      <c r="D20">
        <v>303.94</v>
      </c>
      <c r="E20">
        <v>217.02</v>
      </c>
      <c r="F20" t="s">
        <v>383</v>
      </c>
      <c r="G20" s="1">
        <v>-0.1154</v>
      </c>
    </row>
    <row r="21" spans="1:7" x14ac:dyDescent="0.5">
      <c r="A21" t="s">
        <v>15</v>
      </c>
      <c r="B21">
        <v>292.98</v>
      </c>
      <c r="C21">
        <v>386.68</v>
      </c>
      <c r="D21">
        <v>394</v>
      </c>
      <c r="E21">
        <v>273.60000000000002</v>
      </c>
      <c r="F21" t="s">
        <v>385</v>
      </c>
      <c r="G21" s="1">
        <v>-0.27589999999999998</v>
      </c>
    </row>
    <row r="22" spans="1:7" x14ac:dyDescent="0.5">
      <c r="A22" t="s">
        <v>17</v>
      </c>
      <c r="B22">
        <v>404.6</v>
      </c>
      <c r="C22">
        <v>390.1</v>
      </c>
      <c r="D22">
        <v>439.74</v>
      </c>
      <c r="E22">
        <v>373.04</v>
      </c>
      <c r="F22" t="s">
        <v>342</v>
      </c>
      <c r="G22" s="1">
        <v>1.9E-3</v>
      </c>
    </row>
    <row r="23" spans="1:7" x14ac:dyDescent="0.5">
      <c r="A23" t="s">
        <v>19</v>
      </c>
      <c r="B23">
        <v>403.84</v>
      </c>
      <c r="C23">
        <v>352.38</v>
      </c>
      <c r="D23">
        <v>488.54</v>
      </c>
      <c r="E23">
        <v>348.2</v>
      </c>
      <c r="F23" t="s">
        <v>374</v>
      </c>
      <c r="G23" s="1">
        <v>0.17</v>
      </c>
    </row>
    <row r="24" spans="1:7" x14ac:dyDescent="0.5">
      <c r="A24" t="s">
        <v>21</v>
      </c>
      <c r="B24">
        <v>345.16</v>
      </c>
      <c r="C24">
        <v>252.04</v>
      </c>
      <c r="D24">
        <v>361.93</v>
      </c>
      <c r="E24">
        <v>238.88</v>
      </c>
      <c r="F24" t="s">
        <v>1234</v>
      </c>
      <c r="G24" s="1">
        <v>0.38150000000000001</v>
      </c>
    </row>
    <row r="25" spans="1:7" x14ac:dyDescent="0.5">
      <c r="A25" t="s">
        <v>23</v>
      </c>
      <c r="B25">
        <v>249.85</v>
      </c>
      <c r="C25">
        <v>262.67</v>
      </c>
      <c r="D25">
        <v>273.54000000000002</v>
      </c>
      <c r="E25">
        <v>212.11</v>
      </c>
      <c r="F25" t="s">
        <v>1235</v>
      </c>
      <c r="G25" s="1">
        <v>-4.4999999999999998E-2</v>
      </c>
    </row>
    <row r="26" spans="1:7" x14ac:dyDescent="0.5">
      <c r="A26" t="s">
        <v>25</v>
      </c>
      <c r="B26">
        <v>261.63</v>
      </c>
      <c r="C26">
        <v>215.26</v>
      </c>
      <c r="D26">
        <v>264.86</v>
      </c>
      <c r="E26">
        <v>209.64</v>
      </c>
      <c r="F26" t="s">
        <v>321</v>
      </c>
      <c r="G26" s="1">
        <v>0.22189999999999999</v>
      </c>
    </row>
    <row r="27" spans="1:7" x14ac:dyDescent="0.5">
      <c r="A27" t="s">
        <v>27</v>
      </c>
      <c r="B27">
        <v>214.11</v>
      </c>
      <c r="C27">
        <v>227.69</v>
      </c>
      <c r="D27">
        <v>231.87</v>
      </c>
      <c r="E27">
        <v>182</v>
      </c>
      <c r="F27" t="s">
        <v>776</v>
      </c>
      <c r="G27" s="1">
        <v>-7.7399999999999997E-2</v>
      </c>
    </row>
    <row r="28" spans="1:7" x14ac:dyDescent="0.5">
      <c r="A28" t="s">
        <v>29</v>
      </c>
      <c r="B28">
        <v>232.07</v>
      </c>
      <c r="C28">
        <v>201.02</v>
      </c>
      <c r="D28">
        <v>271</v>
      </c>
      <c r="E28">
        <v>200.85</v>
      </c>
      <c r="F28" t="s">
        <v>1236</v>
      </c>
      <c r="G28" s="1">
        <v>0.17280000000000001</v>
      </c>
    </row>
    <row r="29" spans="1:7" x14ac:dyDescent="0.5">
      <c r="A29" t="s">
        <v>31</v>
      </c>
      <c r="B29">
        <v>197.88</v>
      </c>
      <c r="C29">
        <v>178.13</v>
      </c>
      <c r="D29">
        <v>203.2</v>
      </c>
      <c r="E29">
        <v>167.41</v>
      </c>
      <c r="F29" t="s">
        <v>785</v>
      </c>
      <c r="G29" s="1">
        <v>0.11119999999999999</v>
      </c>
    </row>
    <row r="30" spans="1:7" x14ac:dyDescent="0.5">
      <c r="A30" t="s">
        <v>33</v>
      </c>
      <c r="B30">
        <v>178.08</v>
      </c>
      <c r="C30">
        <v>182</v>
      </c>
      <c r="D30">
        <v>187.56</v>
      </c>
      <c r="E30">
        <v>167.75</v>
      </c>
      <c r="F30" t="s">
        <v>764</v>
      </c>
      <c r="G30" s="1">
        <v>-2.8400000000000002E-2</v>
      </c>
    </row>
    <row r="31" spans="1:7" x14ac:dyDescent="0.5">
      <c r="A31" t="s">
        <v>35</v>
      </c>
      <c r="B31">
        <v>183.28</v>
      </c>
      <c r="C31">
        <v>176.17</v>
      </c>
      <c r="D31">
        <v>198.87</v>
      </c>
      <c r="E31">
        <v>138.80000000000001</v>
      </c>
      <c r="F31" t="s">
        <v>386</v>
      </c>
      <c r="G31" s="1">
        <v>4.2599999999999999E-2</v>
      </c>
    </row>
    <row r="32" spans="1:7" x14ac:dyDescent="0.5">
      <c r="A32" t="s">
        <v>37</v>
      </c>
      <c r="B32">
        <v>175.79</v>
      </c>
      <c r="C32">
        <v>200.52</v>
      </c>
      <c r="D32">
        <v>204.52</v>
      </c>
      <c r="E32">
        <v>160.51</v>
      </c>
      <c r="F32" t="s">
        <v>374</v>
      </c>
      <c r="G32" s="1">
        <v>-0.12920000000000001</v>
      </c>
    </row>
    <row r="33" spans="1:7" x14ac:dyDescent="0.5">
      <c r="A33" t="s">
        <v>39</v>
      </c>
      <c r="B33">
        <v>201.88</v>
      </c>
      <c r="C33">
        <v>188.5</v>
      </c>
      <c r="D33">
        <v>205.6</v>
      </c>
      <c r="E33">
        <v>175.01</v>
      </c>
      <c r="F33" t="s">
        <v>377</v>
      </c>
      <c r="G33" s="1">
        <v>7.7899999999999997E-2</v>
      </c>
    </row>
    <row r="34" spans="1:7" x14ac:dyDescent="0.5">
      <c r="A34" t="s">
        <v>41</v>
      </c>
      <c r="B34">
        <v>187.29</v>
      </c>
      <c r="C34">
        <v>250.08</v>
      </c>
      <c r="D34">
        <v>251.25</v>
      </c>
      <c r="E34">
        <v>180.06</v>
      </c>
      <c r="F34" t="s">
        <v>1237</v>
      </c>
      <c r="G34" s="1">
        <v>-0.24629999999999999</v>
      </c>
    </row>
    <row r="35" spans="1:7" x14ac:dyDescent="0.5">
      <c r="A35" t="s">
        <v>43</v>
      </c>
      <c r="B35">
        <v>248.48</v>
      </c>
      <c r="C35">
        <v>233.14</v>
      </c>
      <c r="D35">
        <v>265.13</v>
      </c>
      <c r="E35">
        <v>228.2</v>
      </c>
      <c r="F35" t="s">
        <v>395</v>
      </c>
      <c r="G35" s="1">
        <v>3.5000000000000003E-2</v>
      </c>
    </row>
    <row r="36" spans="1:7" x14ac:dyDescent="0.5">
      <c r="A36" t="s">
        <v>45</v>
      </c>
      <c r="B36">
        <v>240.08</v>
      </c>
      <c r="C36">
        <v>204.04</v>
      </c>
      <c r="D36">
        <v>252.75</v>
      </c>
      <c r="E36">
        <v>197.85</v>
      </c>
      <c r="F36" t="s">
        <v>357</v>
      </c>
      <c r="G36" s="1">
        <v>0.19539999999999999</v>
      </c>
    </row>
    <row r="37" spans="1:7" x14ac:dyDescent="0.5">
      <c r="A37" t="s">
        <v>47</v>
      </c>
      <c r="B37">
        <v>200.84</v>
      </c>
      <c r="C37">
        <v>244.81</v>
      </c>
      <c r="D37">
        <v>268.94</v>
      </c>
      <c r="E37">
        <v>194.07</v>
      </c>
      <c r="F37" t="s">
        <v>1238</v>
      </c>
      <c r="G37" s="1">
        <v>-0.1973</v>
      </c>
    </row>
    <row r="38" spans="1:7" x14ac:dyDescent="0.5">
      <c r="A38" t="s">
        <v>49</v>
      </c>
      <c r="B38">
        <v>250.22</v>
      </c>
      <c r="C38">
        <v>257.26</v>
      </c>
      <c r="D38">
        <v>278.98</v>
      </c>
      <c r="E38">
        <v>234.58</v>
      </c>
      <c r="F38" t="s">
        <v>396</v>
      </c>
      <c r="G38" s="1">
        <v>-3.0499999999999999E-2</v>
      </c>
    </row>
    <row r="39" spans="1:7" x14ac:dyDescent="0.5">
      <c r="A39" t="s">
        <v>51</v>
      </c>
      <c r="B39">
        <v>258.08</v>
      </c>
      <c r="C39">
        <v>266.26</v>
      </c>
      <c r="D39">
        <v>266.47000000000003</v>
      </c>
      <c r="E39">
        <v>212.36</v>
      </c>
      <c r="F39" t="s">
        <v>1239</v>
      </c>
      <c r="G39" s="1">
        <v>-3.5000000000000003E-2</v>
      </c>
    </row>
    <row r="40" spans="1:7" x14ac:dyDescent="0.5">
      <c r="A40" t="s">
        <v>53</v>
      </c>
      <c r="B40">
        <v>267.43</v>
      </c>
      <c r="C40">
        <v>276.49</v>
      </c>
      <c r="D40">
        <v>299.29000000000002</v>
      </c>
      <c r="E40">
        <v>254.12</v>
      </c>
      <c r="F40" t="s">
        <v>1240</v>
      </c>
      <c r="G40" s="1">
        <v>2.1600000000000001E-2</v>
      </c>
    </row>
    <row r="41" spans="1:7" x14ac:dyDescent="0.5">
      <c r="A41" t="s">
        <v>55</v>
      </c>
      <c r="B41">
        <v>261.77</v>
      </c>
      <c r="C41">
        <v>202.59</v>
      </c>
      <c r="D41">
        <v>276.99</v>
      </c>
      <c r="E41">
        <v>199.37</v>
      </c>
      <c r="F41" t="s">
        <v>1241</v>
      </c>
      <c r="G41" s="1">
        <v>0.28360000000000002</v>
      </c>
    </row>
    <row r="42" spans="1:7" x14ac:dyDescent="0.5">
      <c r="A42" t="s">
        <v>57</v>
      </c>
      <c r="B42">
        <v>203.93</v>
      </c>
      <c r="C42">
        <v>163.16999999999999</v>
      </c>
      <c r="D42">
        <v>204.48</v>
      </c>
      <c r="E42">
        <v>158.83000000000001</v>
      </c>
      <c r="F42" t="s">
        <v>777</v>
      </c>
      <c r="G42" s="1">
        <v>0.24110000000000001</v>
      </c>
    </row>
    <row r="43" spans="1:7" x14ac:dyDescent="0.5">
      <c r="A43" t="s">
        <v>59</v>
      </c>
      <c r="B43">
        <v>164.31</v>
      </c>
      <c r="C43">
        <v>199.91</v>
      </c>
      <c r="D43">
        <v>202.69</v>
      </c>
      <c r="E43">
        <v>152.37</v>
      </c>
      <c r="F43" t="s">
        <v>1242</v>
      </c>
      <c r="G43" s="1">
        <v>-0.20799999999999999</v>
      </c>
    </row>
    <row r="44" spans="1:7" x14ac:dyDescent="0.5">
      <c r="A44" t="s">
        <v>61</v>
      </c>
      <c r="B44">
        <v>207.46</v>
      </c>
      <c r="C44">
        <v>206.21</v>
      </c>
      <c r="D44">
        <v>207.79</v>
      </c>
      <c r="E44">
        <v>163.91</v>
      </c>
      <c r="F44" t="s">
        <v>379</v>
      </c>
      <c r="G44" s="1">
        <v>8.5000000000000006E-3</v>
      </c>
    </row>
    <row r="45" spans="1:7" x14ac:dyDescent="0.5">
      <c r="A45" t="s">
        <v>62</v>
      </c>
      <c r="B45">
        <v>205.71</v>
      </c>
      <c r="C45">
        <v>173.89</v>
      </c>
      <c r="D45">
        <v>217.65</v>
      </c>
      <c r="E45">
        <v>169.93</v>
      </c>
      <c r="F45" t="s">
        <v>1243</v>
      </c>
      <c r="G45" s="1">
        <v>0.18759999999999999</v>
      </c>
    </row>
    <row r="46" spans="1:7" x14ac:dyDescent="0.5">
      <c r="A46" t="s">
        <v>64</v>
      </c>
      <c r="B46">
        <v>173.22</v>
      </c>
      <c r="C46">
        <v>118.47</v>
      </c>
      <c r="D46">
        <v>180.68</v>
      </c>
      <c r="E46">
        <v>101.81</v>
      </c>
      <c r="F46" t="s">
        <v>1244</v>
      </c>
      <c r="G46" s="1">
        <v>0.40620000000000001</v>
      </c>
    </row>
    <row r="47" spans="1:7" x14ac:dyDescent="0.5">
      <c r="A47" t="s">
        <v>66</v>
      </c>
      <c r="B47">
        <v>123.18</v>
      </c>
      <c r="C47">
        <v>197.08</v>
      </c>
      <c r="D47">
        <v>198.92</v>
      </c>
      <c r="E47">
        <v>108.24</v>
      </c>
      <c r="F47" t="s">
        <v>370</v>
      </c>
      <c r="G47" s="1">
        <v>-0.36730000000000002</v>
      </c>
    </row>
    <row r="48" spans="1:7" x14ac:dyDescent="0.5">
      <c r="A48" t="s">
        <v>68</v>
      </c>
      <c r="B48">
        <v>194.7</v>
      </c>
      <c r="C48">
        <v>234.05</v>
      </c>
      <c r="D48">
        <v>237.4</v>
      </c>
      <c r="E48">
        <v>166.18</v>
      </c>
      <c r="F48" t="s">
        <v>356</v>
      </c>
      <c r="G48" s="1">
        <v>-0.14430000000000001</v>
      </c>
    </row>
    <row r="49" spans="1:7" x14ac:dyDescent="0.5">
      <c r="A49" t="s">
        <v>70</v>
      </c>
      <c r="B49">
        <v>227.54</v>
      </c>
      <c r="C49">
        <v>254.5</v>
      </c>
      <c r="D49">
        <v>257.5</v>
      </c>
      <c r="E49">
        <v>198.59</v>
      </c>
      <c r="F49" t="s">
        <v>791</v>
      </c>
      <c r="G49" s="1">
        <v>-0.14219999999999999</v>
      </c>
    </row>
    <row r="50" spans="1:7" x14ac:dyDescent="0.5">
      <c r="A50" t="s">
        <v>72</v>
      </c>
      <c r="B50">
        <v>265.25</v>
      </c>
      <c r="C50">
        <v>272.58</v>
      </c>
      <c r="D50">
        <v>313.8</v>
      </c>
      <c r="E50">
        <v>262.47000000000003</v>
      </c>
      <c r="F50" t="s">
        <v>335</v>
      </c>
      <c r="G50" s="1">
        <v>-3.7600000000000001E-2</v>
      </c>
    </row>
    <row r="51" spans="1:7" x14ac:dyDescent="0.5">
      <c r="A51" t="s">
        <v>74</v>
      </c>
      <c r="B51">
        <v>275.61</v>
      </c>
      <c r="C51">
        <v>301.27</v>
      </c>
      <c r="D51">
        <v>314.67</v>
      </c>
      <c r="E51">
        <v>271.81</v>
      </c>
      <c r="F51" t="s">
        <v>773</v>
      </c>
      <c r="G51" s="1">
        <v>-7.2499999999999995E-2</v>
      </c>
    </row>
    <row r="52" spans="1:7" x14ac:dyDescent="0.5">
      <c r="A52" t="s">
        <v>76</v>
      </c>
      <c r="B52">
        <v>297.14999999999998</v>
      </c>
      <c r="C52">
        <v>227</v>
      </c>
      <c r="D52">
        <v>298.32</v>
      </c>
      <c r="E52">
        <v>216.17</v>
      </c>
      <c r="F52" t="s">
        <v>344</v>
      </c>
      <c r="G52" s="1">
        <v>0.32379999999999998</v>
      </c>
    </row>
    <row r="53" spans="1:7" x14ac:dyDescent="0.5">
      <c r="A53" t="s">
        <v>78</v>
      </c>
      <c r="B53">
        <v>224.47</v>
      </c>
      <c r="C53">
        <v>251.72</v>
      </c>
      <c r="D53">
        <v>264.20999999999998</v>
      </c>
      <c r="E53">
        <v>208.69</v>
      </c>
      <c r="F53" t="s">
        <v>28</v>
      </c>
      <c r="G53" s="1">
        <v>-0.1119</v>
      </c>
    </row>
    <row r="54" spans="1:7" x14ac:dyDescent="0.5">
      <c r="A54" t="s">
        <v>80</v>
      </c>
      <c r="B54">
        <v>252.75</v>
      </c>
      <c r="C54">
        <v>286.92</v>
      </c>
      <c r="D54">
        <v>318.5</v>
      </c>
      <c r="E54">
        <v>206.86</v>
      </c>
      <c r="F54" t="s">
        <v>782</v>
      </c>
      <c r="G54" s="1">
        <v>-0.12920000000000001</v>
      </c>
    </row>
    <row r="55" spans="1:7" x14ac:dyDescent="0.5">
      <c r="A55" t="s">
        <v>82</v>
      </c>
      <c r="B55">
        <v>290.25</v>
      </c>
      <c r="C55">
        <v>360.38</v>
      </c>
      <c r="D55">
        <v>384.29</v>
      </c>
      <c r="E55">
        <v>273.89999999999998</v>
      </c>
      <c r="F55" t="s">
        <v>338</v>
      </c>
      <c r="G55" s="1">
        <v>-0.19189999999999999</v>
      </c>
    </row>
    <row r="56" spans="1:7" x14ac:dyDescent="0.5">
      <c r="A56" t="s">
        <v>84</v>
      </c>
      <c r="B56">
        <v>359.2</v>
      </c>
      <c r="C56">
        <v>289.89</v>
      </c>
      <c r="D56">
        <v>371.59</v>
      </c>
      <c r="E56">
        <v>252.01</v>
      </c>
      <c r="F56" t="s">
        <v>1245</v>
      </c>
      <c r="G56" s="1">
        <v>0.23799999999999999</v>
      </c>
    </row>
    <row r="57" spans="1:7" x14ac:dyDescent="0.5">
      <c r="A57" t="s">
        <v>86</v>
      </c>
      <c r="B57">
        <v>290.14</v>
      </c>
      <c r="C57">
        <v>311.74</v>
      </c>
      <c r="D57">
        <v>315.92</v>
      </c>
      <c r="E57">
        <v>233.33</v>
      </c>
      <c r="F57" t="s">
        <v>1246</v>
      </c>
      <c r="G57" s="1">
        <v>-7.0800000000000002E-2</v>
      </c>
    </row>
    <row r="58" spans="1:7" x14ac:dyDescent="0.5">
      <c r="A58" t="s">
        <v>88</v>
      </c>
      <c r="B58">
        <v>312.24</v>
      </c>
      <c r="C58">
        <v>382.58</v>
      </c>
      <c r="D58">
        <v>402.67</v>
      </c>
      <c r="E58">
        <v>264</v>
      </c>
      <c r="F58" t="s">
        <v>354</v>
      </c>
      <c r="G58" s="1">
        <v>-0.11360000000000001</v>
      </c>
    </row>
    <row r="59" spans="1:7" x14ac:dyDescent="0.5">
      <c r="A59" t="s">
        <v>90</v>
      </c>
      <c r="B59">
        <v>352.26</v>
      </c>
      <c r="C59">
        <v>386.9</v>
      </c>
      <c r="D59">
        <v>390.95</v>
      </c>
      <c r="E59">
        <v>295.37</v>
      </c>
      <c r="F59" t="s">
        <v>762</v>
      </c>
      <c r="G59" s="1">
        <v>-7.6899999999999996E-2</v>
      </c>
    </row>
    <row r="60" spans="1:7" x14ac:dyDescent="0.5">
      <c r="A60" t="s">
        <v>92</v>
      </c>
      <c r="B60">
        <v>381.59</v>
      </c>
      <c r="C60">
        <v>381.67</v>
      </c>
      <c r="D60">
        <v>414.5</v>
      </c>
      <c r="E60">
        <v>326.2</v>
      </c>
      <c r="F60" t="s">
        <v>782</v>
      </c>
      <c r="G60" s="1">
        <v>2.76E-2</v>
      </c>
    </row>
    <row r="61" spans="1:7" x14ac:dyDescent="0.5">
      <c r="A61" t="s">
        <v>94</v>
      </c>
      <c r="B61">
        <v>371.33</v>
      </c>
      <c r="C61">
        <v>259.47000000000003</v>
      </c>
      <c r="D61">
        <v>371.74</v>
      </c>
      <c r="E61">
        <v>254.53</v>
      </c>
      <c r="F61" t="s">
        <v>1247</v>
      </c>
      <c r="G61" s="1">
        <v>0.4365</v>
      </c>
    </row>
    <row r="62" spans="1:7" x14ac:dyDescent="0.5">
      <c r="A62" t="s">
        <v>96</v>
      </c>
      <c r="B62">
        <v>258.49</v>
      </c>
      <c r="C62">
        <v>244.69</v>
      </c>
      <c r="D62">
        <v>266.33</v>
      </c>
      <c r="E62">
        <v>236.28</v>
      </c>
      <c r="F62" t="s">
        <v>332</v>
      </c>
      <c r="G62" s="1">
        <v>5.3999999999999999E-2</v>
      </c>
    </row>
    <row r="63" spans="1:7" x14ac:dyDescent="0.5">
      <c r="A63" t="s">
        <v>98</v>
      </c>
      <c r="B63">
        <v>245.24</v>
      </c>
      <c r="C63">
        <v>233.33</v>
      </c>
      <c r="D63">
        <v>246.8</v>
      </c>
      <c r="E63">
        <v>216.28</v>
      </c>
      <c r="F63" t="s">
        <v>327</v>
      </c>
      <c r="G63" s="1">
        <v>7.0599999999999996E-2</v>
      </c>
    </row>
    <row r="64" spans="1:7" x14ac:dyDescent="0.5">
      <c r="A64" t="s">
        <v>100</v>
      </c>
      <c r="B64">
        <v>229.07</v>
      </c>
      <c r="C64">
        <v>227.97</v>
      </c>
      <c r="D64">
        <v>233.33</v>
      </c>
      <c r="E64">
        <v>206.82</v>
      </c>
      <c r="F64" t="s">
        <v>707</v>
      </c>
      <c r="G64" s="1">
        <v>1.0999999999999999E-2</v>
      </c>
    </row>
    <row r="65" spans="1:7" x14ac:dyDescent="0.5">
      <c r="A65" t="s">
        <v>102</v>
      </c>
      <c r="B65">
        <v>226.57</v>
      </c>
      <c r="C65">
        <v>209.27</v>
      </c>
      <c r="D65">
        <v>232.54</v>
      </c>
      <c r="E65">
        <v>190.41</v>
      </c>
      <c r="F65" t="s">
        <v>767</v>
      </c>
      <c r="G65" s="1">
        <v>8.7099999999999997E-2</v>
      </c>
    </row>
    <row r="66" spans="1:7" x14ac:dyDescent="0.5">
      <c r="A66" t="s">
        <v>104</v>
      </c>
      <c r="B66">
        <v>208.41</v>
      </c>
      <c r="C66">
        <v>234.6</v>
      </c>
      <c r="D66">
        <v>235.33</v>
      </c>
      <c r="E66">
        <v>182.33</v>
      </c>
      <c r="F66" t="s">
        <v>787</v>
      </c>
      <c r="G66" s="1">
        <v>-0.1187</v>
      </c>
    </row>
    <row r="67" spans="1:7" x14ac:dyDescent="0.5">
      <c r="A67" t="s">
        <v>106</v>
      </c>
      <c r="B67">
        <v>236.48</v>
      </c>
      <c r="C67">
        <v>229.46</v>
      </c>
      <c r="D67">
        <v>260.26</v>
      </c>
      <c r="E67">
        <v>219.81</v>
      </c>
      <c r="F67" t="s">
        <v>759</v>
      </c>
      <c r="G67" s="1">
        <v>6.2100000000000002E-2</v>
      </c>
    </row>
    <row r="68" spans="1:7" x14ac:dyDescent="0.5">
      <c r="A68" t="s">
        <v>108</v>
      </c>
      <c r="B68">
        <v>222.64</v>
      </c>
      <c r="C68">
        <v>230.04</v>
      </c>
      <c r="D68">
        <v>240.37</v>
      </c>
      <c r="E68">
        <v>179.83</v>
      </c>
      <c r="F68" t="s">
        <v>1248</v>
      </c>
      <c r="G68" s="1">
        <v>-1.12E-2</v>
      </c>
    </row>
    <row r="69" spans="1:7" x14ac:dyDescent="0.5">
      <c r="A69" t="s">
        <v>110</v>
      </c>
      <c r="B69">
        <v>225.17</v>
      </c>
      <c r="C69">
        <v>271.43</v>
      </c>
      <c r="D69">
        <v>293.5</v>
      </c>
      <c r="E69">
        <v>206.33</v>
      </c>
      <c r="F69" t="s">
        <v>351</v>
      </c>
      <c r="G69" s="1">
        <v>-0.1487</v>
      </c>
    </row>
    <row r="70" spans="1:7" x14ac:dyDescent="0.5">
      <c r="A70" t="s">
        <v>112</v>
      </c>
      <c r="B70">
        <v>264.51</v>
      </c>
      <c r="C70">
        <v>239.82</v>
      </c>
      <c r="D70">
        <v>300.13</v>
      </c>
      <c r="E70">
        <v>239.06</v>
      </c>
      <c r="F70" t="s">
        <v>361</v>
      </c>
      <c r="G70" s="1">
        <v>0.1245</v>
      </c>
    </row>
    <row r="71" spans="1:7" x14ac:dyDescent="0.5">
      <c r="A71" t="s">
        <v>114</v>
      </c>
      <c r="B71">
        <v>235.22</v>
      </c>
      <c r="C71">
        <v>199.2</v>
      </c>
      <c r="D71">
        <v>239.57</v>
      </c>
      <c r="E71">
        <v>180.4</v>
      </c>
      <c r="F71" t="s">
        <v>1249</v>
      </c>
      <c r="G71" s="1">
        <v>0.24329999999999999</v>
      </c>
    </row>
    <row r="72" spans="1:7" x14ac:dyDescent="0.5">
      <c r="A72" t="s">
        <v>116</v>
      </c>
      <c r="B72">
        <v>189.2</v>
      </c>
      <c r="C72">
        <v>131.33000000000001</v>
      </c>
      <c r="D72">
        <v>202.6</v>
      </c>
      <c r="E72">
        <v>130.77000000000001</v>
      </c>
      <c r="F72" t="s">
        <v>1250</v>
      </c>
      <c r="G72" s="1">
        <v>0.4627</v>
      </c>
    </row>
    <row r="73" spans="1:7" x14ac:dyDescent="0.5">
      <c r="A73" t="s">
        <v>118</v>
      </c>
      <c r="B73">
        <v>129.35</v>
      </c>
      <c r="C73">
        <v>146.91999999999999</v>
      </c>
      <c r="D73">
        <v>155.30000000000001</v>
      </c>
      <c r="E73">
        <v>126.37</v>
      </c>
      <c r="F73" t="s">
        <v>1239</v>
      </c>
      <c r="G73" s="1">
        <v>-9.5500000000000002E-2</v>
      </c>
    </row>
    <row r="74" spans="1:7" x14ac:dyDescent="0.5">
      <c r="A74" t="s">
        <v>120</v>
      </c>
      <c r="B74">
        <v>143</v>
      </c>
      <c r="C74">
        <v>167.38</v>
      </c>
      <c r="D74">
        <v>167.5</v>
      </c>
      <c r="E74">
        <v>109.96</v>
      </c>
      <c r="F74" t="s">
        <v>1251</v>
      </c>
      <c r="G74" s="1">
        <v>-0.1391</v>
      </c>
    </row>
    <row r="75" spans="1:7" x14ac:dyDescent="0.5">
      <c r="A75" t="s">
        <v>122</v>
      </c>
      <c r="B75">
        <v>166.11</v>
      </c>
      <c r="C75">
        <v>96.61</v>
      </c>
      <c r="D75">
        <v>166.71</v>
      </c>
      <c r="E75">
        <v>91</v>
      </c>
      <c r="F75" t="s">
        <v>1252</v>
      </c>
      <c r="G75" s="1">
        <v>0.74150000000000005</v>
      </c>
    </row>
    <row r="76" spans="1:7" x14ac:dyDescent="0.5">
      <c r="A76" t="s">
        <v>124</v>
      </c>
      <c r="B76">
        <v>95.38</v>
      </c>
      <c r="C76">
        <v>72.2</v>
      </c>
      <c r="D76">
        <v>119.67</v>
      </c>
      <c r="E76">
        <v>72.03</v>
      </c>
      <c r="F76" t="s">
        <v>1253</v>
      </c>
      <c r="G76" s="1">
        <v>0.32500000000000001</v>
      </c>
    </row>
    <row r="77" spans="1:7" x14ac:dyDescent="0.5">
      <c r="A77" t="s">
        <v>126</v>
      </c>
      <c r="B77">
        <v>71.989999999999995</v>
      </c>
      <c r="C77">
        <v>57.2</v>
      </c>
      <c r="D77">
        <v>72.510000000000005</v>
      </c>
      <c r="E77">
        <v>56.94</v>
      </c>
      <c r="F77" t="s">
        <v>1254</v>
      </c>
      <c r="G77" s="1">
        <v>0.29320000000000002</v>
      </c>
    </row>
    <row r="78" spans="1:7" x14ac:dyDescent="0.5">
      <c r="A78" t="s">
        <v>128</v>
      </c>
      <c r="B78">
        <v>55.67</v>
      </c>
      <c r="C78">
        <v>50.33</v>
      </c>
      <c r="D78">
        <v>56.22</v>
      </c>
      <c r="E78">
        <v>45.54</v>
      </c>
      <c r="F78" t="s">
        <v>805</v>
      </c>
      <c r="G78" s="1">
        <v>6.7900000000000002E-2</v>
      </c>
    </row>
    <row r="79" spans="1:7" x14ac:dyDescent="0.5">
      <c r="A79" t="s">
        <v>130</v>
      </c>
      <c r="B79">
        <v>52.13</v>
      </c>
      <c r="C79">
        <v>33.6</v>
      </c>
      <c r="D79">
        <v>57.99</v>
      </c>
      <c r="E79">
        <v>29.76</v>
      </c>
      <c r="F79" t="s">
        <v>1255</v>
      </c>
      <c r="G79" s="1">
        <v>0.49209999999999998</v>
      </c>
    </row>
    <row r="80" spans="1:7" x14ac:dyDescent="0.5">
      <c r="A80" t="s">
        <v>132</v>
      </c>
      <c r="B80">
        <v>34.93</v>
      </c>
      <c r="C80">
        <v>47.42</v>
      </c>
      <c r="D80">
        <v>53.8</v>
      </c>
      <c r="E80">
        <v>23.37</v>
      </c>
      <c r="F80" t="s">
        <v>876</v>
      </c>
      <c r="G80" s="1">
        <v>-0.21560000000000001</v>
      </c>
    </row>
    <row r="81" spans="1:7" x14ac:dyDescent="0.5">
      <c r="A81" t="s">
        <v>134</v>
      </c>
      <c r="B81">
        <v>44.53</v>
      </c>
      <c r="C81">
        <v>44.91</v>
      </c>
      <c r="D81">
        <v>64.599999999999994</v>
      </c>
      <c r="E81">
        <v>40.770000000000003</v>
      </c>
      <c r="F81" t="s">
        <v>1256</v>
      </c>
      <c r="G81" s="1">
        <v>2.6800000000000001E-2</v>
      </c>
    </row>
    <row r="82" spans="1:7" x14ac:dyDescent="0.5">
      <c r="A82" t="s">
        <v>136</v>
      </c>
      <c r="B82">
        <v>43.37</v>
      </c>
      <c r="C82">
        <v>28.3</v>
      </c>
      <c r="D82">
        <v>43.53</v>
      </c>
      <c r="E82">
        <v>28.11</v>
      </c>
      <c r="F82" t="s">
        <v>1257</v>
      </c>
      <c r="G82" s="1">
        <v>0.55520000000000003</v>
      </c>
    </row>
    <row r="83" spans="1:7" x14ac:dyDescent="0.5">
      <c r="A83" t="s">
        <v>138</v>
      </c>
      <c r="B83">
        <v>27.89</v>
      </c>
      <c r="C83">
        <v>21.96</v>
      </c>
      <c r="D83">
        <v>29.02</v>
      </c>
      <c r="E83">
        <v>21.82</v>
      </c>
      <c r="F83" t="s">
        <v>1258</v>
      </c>
      <c r="G83" s="1">
        <v>0.26790000000000003</v>
      </c>
    </row>
    <row r="84" spans="1:7" x14ac:dyDescent="0.5">
      <c r="A84" t="s">
        <v>140</v>
      </c>
      <c r="B84">
        <v>22</v>
      </c>
      <c r="C84">
        <v>21.09</v>
      </c>
      <c r="D84">
        <v>24.08</v>
      </c>
      <c r="E84">
        <v>20.62</v>
      </c>
      <c r="F84" t="s">
        <v>1259</v>
      </c>
      <c r="G84" s="1">
        <v>4.7699999999999999E-2</v>
      </c>
    </row>
    <row r="85" spans="1:7" x14ac:dyDescent="0.5">
      <c r="A85" t="s">
        <v>142</v>
      </c>
      <c r="B85">
        <v>20.99</v>
      </c>
      <c r="C85">
        <v>16.100000000000001</v>
      </c>
      <c r="D85">
        <v>22.72</v>
      </c>
      <c r="E85">
        <v>14.95</v>
      </c>
      <c r="F85" t="s">
        <v>1260</v>
      </c>
      <c r="G85" s="1">
        <v>0.30740000000000001</v>
      </c>
    </row>
    <row r="86" spans="1:7" x14ac:dyDescent="0.5">
      <c r="A86" t="s">
        <v>144</v>
      </c>
      <c r="B86">
        <v>16.059999999999999</v>
      </c>
      <c r="C86">
        <v>14.94</v>
      </c>
      <c r="D86">
        <v>16.899999999999999</v>
      </c>
      <c r="E86">
        <v>14.56</v>
      </c>
      <c r="F86" t="s">
        <v>1261</v>
      </c>
      <c r="G86" s="1">
        <v>6.7599999999999993E-2</v>
      </c>
    </row>
    <row r="87" spans="1:7" x14ac:dyDescent="0.5">
      <c r="A87" t="s">
        <v>146</v>
      </c>
      <c r="B87">
        <v>15.04</v>
      </c>
      <c r="C87">
        <v>16.18</v>
      </c>
      <c r="D87">
        <v>16.3</v>
      </c>
      <c r="E87">
        <v>14.07</v>
      </c>
      <c r="F87" t="s">
        <v>28</v>
      </c>
      <c r="G87" s="1">
        <v>-6.6199999999999995E-2</v>
      </c>
    </row>
    <row r="88" spans="1:7" x14ac:dyDescent="0.5">
      <c r="A88" t="s">
        <v>148</v>
      </c>
      <c r="B88">
        <v>16.11</v>
      </c>
      <c r="C88">
        <v>15.35</v>
      </c>
      <c r="D88">
        <v>17.739999999999998</v>
      </c>
      <c r="E88">
        <v>14.81</v>
      </c>
      <c r="F88" t="s">
        <v>1262</v>
      </c>
      <c r="G88" s="1">
        <v>8.1199999999999994E-2</v>
      </c>
    </row>
    <row r="89" spans="1:7" x14ac:dyDescent="0.5">
      <c r="A89" t="s">
        <v>150</v>
      </c>
      <c r="B89">
        <v>14.9</v>
      </c>
      <c r="C89">
        <v>12.37</v>
      </c>
      <c r="D89">
        <v>15.65</v>
      </c>
      <c r="E89">
        <v>11.8</v>
      </c>
      <c r="F89" t="s">
        <v>1263</v>
      </c>
      <c r="G89" s="1">
        <v>0.20680000000000001</v>
      </c>
    </row>
    <row r="90" spans="1:7" x14ac:dyDescent="0.5">
      <c r="A90" t="s">
        <v>152</v>
      </c>
      <c r="B90">
        <v>12.34</v>
      </c>
      <c r="C90">
        <v>15.92</v>
      </c>
      <c r="D90">
        <v>17.22</v>
      </c>
      <c r="E90">
        <v>12.27</v>
      </c>
      <c r="F90" t="s">
        <v>1264</v>
      </c>
      <c r="G90" s="1">
        <v>-0.2243</v>
      </c>
    </row>
    <row r="91" spans="1:7" x14ac:dyDescent="0.5">
      <c r="A91" t="s">
        <v>154</v>
      </c>
      <c r="B91">
        <v>15.91</v>
      </c>
      <c r="C91">
        <v>18.84</v>
      </c>
      <c r="D91">
        <v>19.739999999999998</v>
      </c>
      <c r="E91">
        <v>15.41</v>
      </c>
      <c r="F91" t="s">
        <v>1265</v>
      </c>
      <c r="G91" s="1">
        <v>-0.14710000000000001</v>
      </c>
    </row>
    <row r="92" spans="1:7" x14ac:dyDescent="0.5">
      <c r="A92" t="s">
        <v>156</v>
      </c>
      <c r="B92">
        <v>18.66</v>
      </c>
      <c r="C92">
        <v>20.46</v>
      </c>
      <c r="D92">
        <v>20.48</v>
      </c>
      <c r="E92">
        <v>16.96</v>
      </c>
      <c r="F92" t="s">
        <v>1266</v>
      </c>
      <c r="G92" s="1">
        <v>-0.12509999999999999</v>
      </c>
    </row>
    <row r="93" spans="1:7" x14ac:dyDescent="0.5">
      <c r="A93" t="s">
        <v>158</v>
      </c>
      <c r="B93">
        <v>21.33</v>
      </c>
      <c r="C93">
        <v>20.36</v>
      </c>
      <c r="D93">
        <v>21.62</v>
      </c>
      <c r="E93">
        <v>19.25</v>
      </c>
      <c r="F93" t="s">
        <v>781</v>
      </c>
      <c r="G93" s="1">
        <v>4.19E-2</v>
      </c>
    </row>
    <row r="94" spans="1:7" x14ac:dyDescent="0.5">
      <c r="A94" t="s">
        <v>160</v>
      </c>
      <c r="B94">
        <v>20.47</v>
      </c>
      <c r="C94">
        <v>20.41</v>
      </c>
      <c r="D94">
        <v>23.47</v>
      </c>
      <c r="E94">
        <v>18.62</v>
      </c>
      <c r="F94" t="s">
        <v>1267</v>
      </c>
      <c r="G94" s="1">
        <v>-7.7499999999999999E-2</v>
      </c>
    </row>
    <row r="95" spans="1:7" x14ac:dyDescent="0.5">
      <c r="A95" t="s">
        <v>162</v>
      </c>
      <c r="B95">
        <v>22.19</v>
      </c>
      <c r="C95">
        <v>24</v>
      </c>
      <c r="D95">
        <v>25.3</v>
      </c>
      <c r="E95">
        <v>19.61</v>
      </c>
      <c r="F95" t="s">
        <v>14</v>
      </c>
      <c r="G95" s="1">
        <v>-5.04E-2</v>
      </c>
    </row>
    <row r="96" spans="1:7" x14ac:dyDescent="0.5">
      <c r="A96" t="s">
        <v>164</v>
      </c>
      <c r="B96">
        <v>23.37</v>
      </c>
      <c r="C96">
        <v>22.55</v>
      </c>
      <c r="D96">
        <v>24.45</v>
      </c>
      <c r="E96">
        <v>21.67</v>
      </c>
      <c r="F96" t="s">
        <v>1268</v>
      </c>
      <c r="G96" s="1">
        <v>3.9E-2</v>
      </c>
    </row>
    <row r="97" spans="1:7" x14ac:dyDescent="0.5">
      <c r="A97" t="s">
        <v>166</v>
      </c>
      <c r="B97">
        <v>22.49</v>
      </c>
      <c r="C97">
        <v>20.38</v>
      </c>
      <c r="D97">
        <v>23.14</v>
      </c>
      <c r="E97">
        <v>16.52</v>
      </c>
      <c r="F97" t="s">
        <v>416</v>
      </c>
      <c r="G97" s="1">
        <v>0.27400000000000002</v>
      </c>
    </row>
    <row r="98" spans="1:7" x14ac:dyDescent="0.5">
      <c r="A98" t="s">
        <v>168</v>
      </c>
      <c r="B98">
        <v>17.649999999999999</v>
      </c>
      <c r="C98">
        <v>19.8</v>
      </c>
      <c r="D98">
        <v>21</v>
      </c>
      <c r="E98">
        <v>16.82</v>
      </c>
      <c r="F98" t="s">
        <v>370</v>
      </c>
      <c r="G98" s="1">
        <v>-0.12230000000000001</v>
      </c>
    </row>
    <row r="99" spans="1:7" x14ac:dyDescent="0.5">
      <c r="A99" t="s">
        <v>170</v>
      </c>
      <c r="B99">
        <v>20.11</v>
      </c>
      <c r="C99">
        <v>19.87</v>
      </c>
      <c r="D99">
        <v>25.83</v>
      </c>
      <c r="E99">
        <v>19.21</v>
      </c>
      <c r="F99" t="s">
        <v>1269</v>
      </c>
      <c r="G99" s="1">
        <v>1.18E-2</v>
      </c>
    </row>
    <row r="100" spans="1:7" x14ac:dyDescent="0.5">
      <c r="A100" t="s">
        <v>172</v>
      </c>
      <c r="B100">
        <v>19.88</v>
      </c>
      <c r="C100">
        <v>24</v>
      </c>
      <c r="D100">
        <v>24.32</v>
      </c>
      <c r="E100">
        <v>19.079999999999998</v>
      </c>
      <c r="F100" t="s">
        <v>1238</v>
      </c>
      <c r="G100" s="1">
        <v>-0.13070000000000001</v>
      </c>
    </row>
    <row r="101" spans="1:7" x14ac:dyDescent="0.5">
      <c r="A101" t="s">
        <v>174</v>
      </c>
      <c r="B101">
        <v>22.86</v>
      </c>
      <c r="C101">
        <v>19.059999999999999</v>
      </c>
      <c r="D101">
        <v>24.92</v>
      </c>
      <c r="E101">
        <v>18.920000000000002</v>
      </c>
      <c r="F101" t="s">
        <v>1270</v>
      </c>
      <c r="G101" s="1">
        <v>0.20449999999999999</v>
      </c>
    </row>
    <row r="102" spans="1:7" x14ac:dyDescent="0.5">
      <c r="A102" t="s">
        <v>176</v>
      </c>
      <c r="B102">
        <v>18.98</v>
      </c>
      <c r="C102">
        <v>19.57</v>
      </c>
      <c r="D102">
        <v>20.87</v>
      </c>
      <c r="E102">
        <v>18.23</v>
      </c>
      <c r="F102" t="s">
        <v>769</v>
      </c>
      <c r="G102" s="1">
        <v>-3.1199999999999999E-2</v>
      </c>
    </row>
    <row r="103" spans="1:7" x14ac:dyDescent="0.5">
      <c r="A103" t="s">
        <v>178</v>
      </c>
      <c r="B103">
        <v>19.59</v>
      </c>
      <c r="C103">
        <v>17.079999999999998</v>
      </c>
      <c r="D103">
        <v>20.63</v>
      </c>
      <c r="E103">
        <v>16.309999999999999</v>
      </c>
      <c r="F103" t="s">
        <v>1271</v>
      </c>
      <c r="G103" s="1">
        <v>0.1043</v>
      </c>
    </row>
    <row r="104" spans="1:7" x14ac:dyDescent="0.5">
      <c r="A104" t="s">
        <v>180</v>
      </c>
      <c r="B104">
        <v>17.739999999999998</v>
      </c>
      <c r="C104">
        <v>23</v>
      </c>
      <c r="D104">
        <v>23.24</v>
      </c>
      <c r="E104">
        <v>16.55</v>
      </c>
      <c r="F104" t="s">
        <v>1272</v>
      </c>
      <c r="G104" s="1">
        <v>-0.22420000000000001</v>
      </c>
    </row>
    <row r="105" spans="1:7" x14ac:dyDescent="0.5">
      <c r="A105" t="s">
        <v>182</v>
      </c>
      <c r="B105">
        <v>22.87</v>
      </c>
      <c r="C105">
        <v>23.4</v>
      </c>
      <c r="D105">
        <v>24</v>
      </c>
      <c r="E105">
        <v>19.649999999999999</v>
      </c>
      <c r="F105" t="s">
        <v>1273</v>
      </c>
      <c r="G105" s="1">
        <v>-3.1800000000000002E-2</v>
      </c>
    </row>
    <row r="106" spans="1:7" x14ac:dyDescent="0.5">
      <c r="A106" t="s">
        <v>184</v>
      </c>
      <c r="B106">
        <v>23.62</v>
      </c>
      <c r="C106">
        <v>20.8</v>
      </c>
      <c r="D106">
        <v>24.03</v>
      </c>
      <c r="E106">
        <v>20.38</v>
      </c>
      <c r="F106" t="s">
        <v>800</v>
      </c>
      <c r="G106" s="1">
        <v>0.13800000000000001</v>
      </c>
    </row>
    <row r="107" spans="1:7" x14ac:dyDescent="0.5">
      <c r="A107" t="s">
        <v>186</v>
      </c>
      <c r="B107">
        <v>20.76</v>
      </c>
      <c r="C107">
        <v>20.36</v>
      </c>
      <c r="D107">
        <v>23.16</v>
      </c>
      <c r="E107">
        <v>20</v>
      </c>
      <c r="F107" t="s">
        <v>772</v>
      </c>
      <c r="G107" s="1">
        <v>8.0999999999999996E-3</v>
      </c>
    </row>
    <row r="108" spans="1:7" x14ac:dyDescent="0.5">
      <c r="A108" t="s">
        <v>188</v>
      </c>
      <c r="B108">
        <v>20.59</v>
      </c>
      <c r="C108">
        <v>22.15</v>
      </c>
      <c r="D108">
        <v>22.17</v>
      </c>
      <c r="E108">
        <v>19.510000000000002</v>
      </c>
      <c r="F108" t="s">
        <v>1274</v>
      </c>
      <c r="G108" s="1">
        <v>-6.8400000000000002E-2</v>
      </c>
    </row>
    <row r="109" spans="1:7" x14ac:dyDescent="0.5">
      <c r="A109" t="s">
        <v>190</v>
      </c>
      <c r="B109">
        <v>22.1</v>
      </c>
      <c r="C109">
        <v>22.83</v>
      </c>
      <c r="D109">
        <v>24.2</v>
      </c>
      <c r="E109">
        <v>21.11</v>
      </c>
      <c r="F109" t="s">
        <v>8</v>
      </c>
      <c r="G109" s="1">
        <v>-2.81E-2</v>
      </c>
    </row>
    <row r="110" spans="1:7" x14ac:dyDescent="0.5">
      <c r="A110" t="s">
        <v>192</v>
      </c>
      <c r="B110">
        <v>22.74</v>
      </c>
      <c r="C110">
        <v>23.74</v>
      </c>
      <c r="D110">
        <v>25.97</v>
      </c>
      <c r="E110">
        <v>22.36</v>
      </c>
      <c r="F110" t="s">
        <v>764</v>
      </c>
      <c r="G110" s="1">
        <v>-4.1599999999999998E-2</v>
      </c>
    </row>
    <row r="111" spans="1:7" x14ac:dyDescent="0.5">
      <c r="A111" t="s">
        <v>194</v>
      </c>
      <c r="B111">
        <v>23.73</v>
      </c>
      <c r="C111">
        <v>21.53</v>
      </c>
      <c r="D111">
        <v>24.67</v>
      </c>
      <c r="E111">
        <v>20.75</v>
      </c>
      <c r="F111" t="s">
        <v>1261</v>
      </c>
      <c r="G111" s="1">
        <v>0.1003</v>
      </c>
    </row>
    <row r="112" spans="1:7" x14ac:dyDescent="0.5">
      <c r="A112" t="s">
        <v>196</v>
      </c>
      <c r="B112">
        <v>21.56</v>
      </c>
      <c r="C112">
        <v>24.68</v>
      </c>
      <c r="D112">
        <v>24.76</v>
      </c>
      <c r="E112">
        <v>20.21</v>
      </c>
      <c r="F112" t="s">
        <v>383</v>
      </c>
      <c r="G112" s="1">
        <v>-0.1055</v>
      </c>
    </row>
    <row r="113" spans="1:7" x14ac:dyDescent="0.5">
      <c r="A113" t="s">
        <v>198</v>
      </c>
      <c r="B113">
        <v>24.11</v>
      </c>
      <c r="C113">
        <v>22.93</v>
      </c>
      <c r="D113">
        <v>25.8</v>
      </c>
      <c r="E113">
        <v>22.28</v>
      </c>
      <c r="F113" t="s">
        <v>779</v>
      </c>
      <c r="G113" s="1">
        <v>6.0400000000000002E-2</v>
      </c>
    </row>
    <row r="114" spans="1:7" x14ac:dyDescent="0.5">
      <c r="A114" t="s">
        <v>200</v>
      </c>
      <c r="B114">
        <v>22.73</v>
      </c>
      <c r="C114">
        <v>20.99</v>
      </c>
      <c r="D114">
        <v>22.86</v>
      </c>
      <c r="E114">
        <v>19.38</v>
      </c>
      <c r="F114" t="s">
        <v>793</v>
      </c>
      <c r="G114" s="1">
        <v>8.5800000000000001E-2</v>
      </c>
    </row>
    <row r="115" spans="1:7" x14ac:dyDescent="0.5">
      <c r="A115" t="s">
        <v>202</v>
      </c>
      <c r="B115">
        <v>20.94</v>
      </c>
      <c r="C115">
        <v>19.13</v>
      </c>
      <c r="D115">
        <v>20.99</v>
      </c>
      <c r="E115">
        <v>18.97</v>
      </c>
      <c r="F115" t="s">
        <v>344</v>
      </c>
      <c r="G115" s="1">
        <v>0.1285</v>
      </c>
    </row>
    <row r="116" spans="1:7" x14ac:dyDescent="0.5">
      <c r="A116" t="s">
        <v>204</v>
      </c>
      <c r="B116">
        <v>18.55</v>
      </c>
      <c r="C116">
        <v>16.95</v>
      </c>
      <c r="D116">
        <v>18.8</v>
      </c>
      <c r="E116">
        <v>16.190000000000001</v>
      </c>
      <c r="F116" t="s">
        <v>321</v>
      </c>
      <c r="G116" s="1">
        <v>0.1132</v>
      </c>
    </row>
    <row r="117" spans="1:7" x14ac:dyDescent="0.5">
      <c r="A117" t="s">
        <v>206</v>
      </c>
      <c r="B117">
        <v>16.670000000000002</v>
      </c>
      <c r="C117">
        <v>16.87</v>
      </c>
      <c r="D117">
        <v>19.16</v>
      </c>
      <c r="E117">
        <v>16.13</v>
      </c>
      <c r="F117" t="s">
        <v>1275</v>
      </c>
      <c r="G117" s="1">
        <v>-7.7000000000000002E-3</v>
      </c>
    </row>
    <row r="118" spans="1:7" x14ac:dyDescent="0.5">
      <c r="A118" t="s">
        <v>208</v>
      </c>
      <c r="B118">
        <v>16.8</v>
      </c>
      <c r="C118">
        <v>14.32</v>
      </c>
      <c r="D118">
        <v>17.23</v>
      </c>
      <c r="E118">
        <v>14.06</v>
      </c>
      <c r="F118" t="s">
        <v>342</v>
      </c>
      <c r="G118" s="1">
        <v>0.1789</v>
      </c>
    </row>
    <row r="119" spans="1:7" x14ac:dyDescent="0.5">
      <c r="A119" t="s">
        <v>210</v>
      </c>
      <c r="B119">
        <v>14.25</v>
      </c>
      <c r="C119">
        <v>12.55</v>
      </c>
      <c r="D119">
        <v>14.92</v>
      </c>
      <c r="E119">
        <v>12</v>
      </c>
      <c r="F119" t="s">
        <v>333</v>
      </c>
      <c r="G119" s="1">
        <v>0.12820000000000001</v>
      </c>
    </row>
    <row r="120" spans="1:7" x14ac:dyDescent="0.5">
      <c r="A120" t="s">
        <v>212</v>
      </c>
      <c r="B120">
        <v>12.63</v>
      </c>
      <c r="C120">
        <v>13.2</v>
      </c>
      <c r="D120">
        <v>13.29</v>
      </c>
      <c r="E120">
        <v>11.88</v>
      </c>
      <c r="F120" t="s">
        <v>1276</v>
      </c>
      <c r="G120" s="1">
        <v>-4.2099999999999999E-2</v>
      </c>
    </row>
    <row r="121" spans="1:7" x14ac:dyDescent="0.5">
      <c r="A121" t="s">
        <v>214</v>
      </c>
      <c r="B121">
        <v>13.18</v>
      </c>
      <c r="C121">
        <v>14.15</v>
      </c>
      <c r="D121">
        <v>14.38</v>
      </c>
      <c r="E121">
        <v>12.8</v>
      </c>
      <c r="F121" t="s">
        <v>792</v>
      </c>
      <c r="G121" s="1">
        <v>-3.09E-2</v>
      </c>
    </row>
    <row r="122" spans="1:7" x14ac:dyDescent="0.5">
      <c r="A122" t="s">
        <v>216</v>
      </c>
      <c r="B122">
        <v>13.6</v>
      </c>
      <c r="C122">
        <v>13.93</v>
      </c>
      <c r="D122">
        <v>14.07</v>
      </c>
      <c r="E122">
        <v>12.9</v>
      </c>
      <c r="F122" t="s">
        <v>331</v>
      </c>
      <c r="G122" s="1">
        <v>-3.7600000000000001E-2</v>
      </c>
    </row>
    <row r="123" spans="1:7" x14ac:dyDescent="0.5">
      <c r="A123" t="s">
        <v>218</v>
      </c>
      <c r="B123">
        <v>14.13</v>
      </c>
      <c r="C123">
        <v>15.7</v>
      </c>
      <c r="D123">
        <v>15.78</v>
      </c>
      <c r="E123">
        <v>13.91</v>
      </c>
      <c r="F123" t="s">
        <v>1277</v>
      </c>
      <c r="G123" s="1">
        <v>-9.7000000000000003E-2</v>
      </c>
    </row>
    <row r="124" spans="1:7" x14ac:dyDescent="0.5">
      <c r="A124" t="s">
        <v>220</v>
      </c>
      <c r="B124">
        <v>15.65</v>
      </c>
      <c r="C124">
        <v>13.74</v>
      </c>
      <c r="D124">
        <v>15.69</v>
      </c>
      <c r="E124">
        <v>13.73</v>
      </c>
      <c r="F124" t="s">
        <v>587</v>
      </c>
      <c r="G124" s="1">
        <v>0.106</v>
      </c>
    </row>
    <row r="125" spans="1:7" x14ac:dyDescent="0.5">
      <c r="A125" t="s">
        <v>222</v>
      </c>
      <c r="B125">
        <v>14.15</v>
      </c>
      <c r="C125">
        <v>14.77</v>
      </c>
      <c r="D125">
        <v>16.059999999999999</v>
      </c>
      <c r="E125">
        <v>12.52</v>
      </c>
      <c r="F125" t="s">
        <v>358</v>
      </c>
      <c r="G125" s="1">
        <v>-4.9099999999999998E-2</v>
      </c>
    </row>
    <row r="126" spans="1:7" x14ac:dyDescent="0.5">
      <c r="A126" t="s">
        <v>224</v>
      </c>
      <c r="B126">
        <v>14.88</v>
      </c>
      <c r="C126">
        <v>16.100000000000001</v>
      </c>
      <c r="D126">
        <v>16.21</v>
      </c>
      <c r="E126">
        <v>13.58</v>
      </c>
      <c r="F126" t="s">
        <v>758</v>
      </c>
      <c r="G126" s="1">
        <v>-7.2800000000000004E-2</v>
      </c>
    </row>
    <row r="127" spans="1:7" x14ac:dyDescent="0.5">
      <c r="A127" t="s">
        <v>226</v>
      </c>
      <c r="B127">
        <v>16.05</v>
      </c>
      <c r="C127">
        <v>16.32</v>
      </c>
      <c r="D127">
        <v>17.96</v>
      </c>
      <c r="E127">
        <v>15.55</v>
      </c>
      <c r="F127" t="s">
        <v>1070</v>
      </c>
      <c r="G127" s="1">
        <v>4.7800000000000002E-2</v>
      </c>
    </row>
    <row r="128" spans="1:7" x14ac:dyDescent="0.5">
      <c r="A128" t="s">
        <v>228</v>
      </c>
      <c r="B128">
        <v>15.32</v>
      </c>
      <c r="C128">
        <v>12.95</v>
      </c>
      <c r="D128">
        <v>15.99</v>
      </c>
      <c r="E128">
        <v>12.1</v>
      </c>
      <c r="F128" t="s">
        <v>766</v>
      </c>
      <c r="G128" s="1">
        <v>0.19719999999999999</v>
      </c>
    </row>
    <row r="129" spans="1:7" x14ac:dyDescent="0.5">
      <c r="A129" t="s">
        <v>230</v>
      </c>
      <c r="B129">
        <v>12.8</v>
      </c>
      <c r="C129">
        <v>12.58</v>
      </c>
      <c r="D129">
        <v>13.3</v>
      </c>
      <c r="E129">
        <v>9.4</v>
      </c>
      <c r="F129" t="s">
        <v>28</v>
      </c>
      <c r="G129" s="1">
        <v>3.8E-3</v>
      </c>
    </row>
    <row r="130" spans="1:7" x14ac:dyDescent="0.5">
      <c r="A130" t="s">
        <v>232</v>
      </c>
      <c r="B130">
        <v>12.75</v>
      </c>
      <c r="C130">
        <v>15.38</v>
      </c>
      <c r="D130">
        <v>15.43</v>
      </c>
      <c r="E130">
        <v>12.16</v>
      </c>
      <c r="F130" t="s">
        <v>30</v>
      </c>
      <c r="G130" s="1">
        <v>-0.2034</v>
      </c>
    </row>
    <row r="131" spans="1:7" x14ac:dyDescent="0.5">
      <c r="A131" t="s">
        <v>234</v>
      </c>
      <c r="B131">
        <v>16</v>
      </c>
      <c r="C131">
        <v>15.4</v>
      </c>
      <c r="D131">
        <v>16.239999999999998</v>
      </c>
      <c r="E131">
        <v>14.32</v>
      </c>
      <c r="F131" t="s">
        <v>1278</v>
      </c>
      <c r="G131" s="1">
        <v>4.2299999999999997E-2</v>
      </c>
    </row>
    <row r="132" spans="1:7" x14ac:dyDescent="0.5">
      <c r="A132" t="s">
        <v>236</v>
      </c>
      <c r="B132">
        <v>15.35</v>
      </c>
      <c r="C132">
        <v>13.93</v>
      </c>
      <c r="D132">
        <v>15.64</v>
      </c>
      <c r="E132">
        <v>13.72</v>
      </c>
      <c r="F132" t="s">
        <v>799</v>
      </c>
      <c r="G132" s="1">
        <v>0.11269999999999999</v>
      </c>
    </row>
    <row r="133" spans="1:7" x14ac:dyDescent="0.5">
      <c r="A133" t="s">
        <v>238</v>
      </c>
      <c r="B133">
        <v>13.8</v>
      </c>
      <c r="C133">
        <v>16.5</v>
      </c>
      <c r="D133">
        <v>16.66</v>
      </c>
      <c r="E133">
        <v>13.47</v>
      </c>
      <c r="F133" t="s">
        <v>342</v>
      </c>
      <c r="G133" s="1">
        <v>-0.16700000000000001</v>
      </c>
    </row>
    <row r="134" spans="1:7" x14ac:dyDescent="0.5">
      <c r="A134" t="s">
        <v>240</v>
      </c>
      <c r="B134">
        <v>16.559999999999999</v>
      </c>
      <c r="C134">
        <v>16.02</v>
      </c>
      <c r="D134">
        <v>18.100000000000001</v>
      </c>
      <c r="E134">
        <v>15.8</v>
      </c>
      <c r="F134" t="s">
        <v>320</v>
      </c>
      <c r="G134" s="1">
        <v>-2.7000000000000001E-3</v>
      </c>
    </row>
    <row r="135" spans="1:7" x14ac:dyDescent="0.5">
      <c r="A135" t="s">
        <v>242</v>
      </c>
      <c r="B135">
        <v>16.600000000000001</v>
      </c>
      <c r="C135">
        <v>17.75</v>
      </c>
      <c r="D135">
        <v>18.07</v>
      </c>
      <c r="E135">
        <v>13</v>
      </c>
      <c r="F135" t="s">
        <v>1245</v>
      </c>
      <c r="G135" s="1">
        <v>-6.4199999999999993E-2</v>
      </c>
    </row>
    <row r="136" spans="1:7" x14ac:dyDescent="0.5">
      <c r="A136" t="s">
        <v>244</v>
      </c>
      <c r="B136">
        <v>17.739999999999998</v>
      </c>
      <c r="C136">
        <v>18.07</v>
      </c>
      <c r="D136">
        <v>19.11</v>
      </c>
      <c r="E136">
        <v>16.72</v>
      </c>
      <c r="F136" t="s">
        <v>320</v>
      </c>
      <c r="G136" s="1">
        <v>-7.9000000000000008E-3</v>
      </c>
    </row>
    <row r="137" spans="1:7" x14ac:dyDescent="0.5">
      <c r="A137" t="s">
        <v>246</v>
      </c>
      <c r="B137">
        <v>17.88</v>
      </c>
      <c r="C137">
        <v>16.760000000000002</v>
      </c>
      <c r="D137">
        <v>18.09</v>
      </c>
      <c r="E137">
        <v>16.38</v>
      </c>
      <c r="F137" t="s">
        <v>1279</v>
      </c>
      <c r="G137" s="1">
        <v>6.9599999999999995E-2</v>
      </c>
    </row>
    <row r="138" spans="1:7" x14ac:dyDescent="0.5">
      <c r="A138" t="s">
        <v>248</v>
      </c>
      <c r="B138">
        <v>16.72</v>
      </c>
      <c r="C138">
        <v>15.33</v>
      </c>
      <c r="D138">
        <v>16.86</v>
      </c>
      <c r="E138">
        <v>14.68</v>
      </c>
      <c r="F138" t="s">
        <v>329</v>
      </c>
      <c r="G138" s="1">
        <v>0.1095</v>
      </c>
    </row>
    <row r="139" spans="1:7" x14ac:dyDescent="0.5">
      <c r="A139" t="s">
        <v>250</v>
      </c>
      <c r="B139">
        <v>15.07</v>
      </c>
      <c r="C139">
        <v>12.58</v>
      </c>
      <c r="D139">
        <v>15.92</v>
      </c>
      <c r="E139">
        <v>12.4</v>
      </c>
      <c r="F139" t="s">
        <v>1276</v>
      </c>
      <c r="G139" s="1">
        <v>0.19750000000000001</v>
      </c>
    </row>
    <row r="140" spans="1:7" x14ac:dyDescent="0.5">
      <c r="A140" t="s">
        <v>252</v>
      </c>
      <c r="B140">
        <v>12.58</v>
      </c>
      <c r="C140">
        <v>13.51</v>
      </c>
      <c r="D140">
        <v>13.75</v>
      </c>
      <c r="E140">
        <v>12.09</v>
      </c>
      <c r="F140" t="s">
        <v>1280</v>
      </c>
      <c r="G140" s="1">
        <v>-7.17E-2</v>
      </c>
    </row>
    <row r="141" spans="1:7" x14ac:dyDescent="0.5">
      <c r="A141" t="s">
        <v>254</v>
      </c>
      <c r="B141">
        <v>13.56</v>
      </c>
      <c r="C141">
        <v>13.6</v>
      </c>
      <c r="D141">
        <v>15.03</v>
      </c>
      <c r="E141">
        <v>12.89</v>
      </c>
      <c r="F141" t="s">
        <v>774</v>
      </c>
      <c r="G141" s="1">
        <v>-1.2999999999999999E-3</v>
      </c>
    </row>
    <row r="142" spans="1:7" x14ac:dyDescent="0.5">
      <c r="A142" t="s">
        <v>256</v>
      </c>
      <c r="B142">
        <v>13.57</v>
      </c>
      <c r="C142">
        <v>14.86</v>
      </c>
      <c r="D142">
        <v>14.88</v>
      </c>
      <c r="E142">
        <v>12.33</v>
      </c>
      <c r="F142" t="s">
        <v>707</v>
      </c>
      <c r="G142" s="1">
        <v>-8.4599999999999995E-2</v>
      </c>
    </row>
    <row r="143" spans="1:7" x14ac:dyDescent="0.5">
      <c r="A143" t="s">
        <v>258</v>
      </c>
      <c r="B143">
        <v>14.83</v>
      </c>
      <c r="C143">
        <v>16.079999999999998</v>
      </c>
      <c r="D143">
        <v>16.16</v>
      </c>
      <c r="E143">
        <v>12.84</v>
      </c>
      <c r="F143" t="s">
        <v>1235</v>
      </c>
      <c r="G143" s="1">
        <v>-9.0399999999999994E-2</v>
      </c>
    </row>
    <row r="144" spans="1:7" x14ac:dyDescent="0.5">
      <c r="A144" t="s">
        <v>260</v>
      </c>
      <c r="B144">
        <v>16.3</v>
      </c>
      <c r="C144">
        <v>16.2</v>
      </c>
      <c r="D144">
        <v>17.329999999999998</v>
      </c>
      <c r="E144">
        <v>15.23</v>
      </c>
      <c r="F144" t="s">
        <v>776</v>
      </c>
      <c r="G144" s="1">
        <v>1.17E-2</v>
      </c>
    </row>
    <row r="145" spans="1:7" x14ac:dyDescent="0.5">
      <c r="A145" t="s">
        <v>262</v>
      </c>
      <c r="B145">
        <v>16.11</v>
      </c>
      <c r="C145">
        <v>16.149999999999999</v>
      </c>
      <c r="D145">
        <v>17.7</v>
      </c>
      <c r="E145">
        <v>14.49</v>
      </c>
      <c r="F145" t="s">
        <v>1281</v>
      </c>
      <c r="G145" s="1">
        <v>-4.0000000000000001E-3</v>
      </c>
    </row>
    <row r="146" spans="1:7" x14ac:dyDescent="0.5">
      <c r="A146" t="s">
        <v>264</v>
      </c>
      <c r="B146">
        <v>16.18</v>
      </c>
      <c r="C146">
        <v>18.37</v>
      </c>
      <c r="D146">
        <v>19.43</v>
      </c>
      <c r="E146">
        <v>16.010000000000002</v>
      </c>
      <c r="F146" t="s">
        <v>794</v>
      </c>
      <c r="G146" s="1">
        <v>-0.1002</v>
      </c>
    </row>
    <row r="147" spans="1:7" x14ac:dyDescent="0.5">
      <c r="A147" t="s">
        <v>266</v>
      </c>
      <c r="B147">
        <v>17.98</v>
      </c>
      <c r="C147">
        <v>15.07</v>
      </c>
      <c r="D147">
        <v>18.13</v>
      </c>
      <c r="E147">
        <v>15.07</v>
      </c>
      <c r="F147" t="s">
        <v>328</v>
      </c>
      <c r="G147" s="1">
        <v>0.20780000000000001</v>
      </c>
    </row>
    <row r="148" spans="1:7" x14ac:dyDescent="0.5">
      <c r="A148" t="s">
        <v>268</v>
      </c>
      <c r="B148">
        <v>14.89</v>
      </c>
      <c r="C148">
        <v>16.16</v>
      </c>
      <c r="D148">
        <v>16.23</v>
      </c>
      <c r="E148">
        <v>14.24</v>
      </c>
      <c r="F148" t="s">
        <v>776</v>
      </c>
      <c r="G148" s="1">
        <v>-6.9800000000000001E-2</v>
      </c>
    </row>
    <row r="149" spans="1:7" x14ac:dyDescent="0.5">
      <c r="A149" t="s">
        <v>270</v>
      </c>
      <c r="B149">
        <v>16</v>
      </c>
      <c r="C149">
        <v>13.82</v>
      </c>
      <c r="D149">
        <v>16.3</v>
      </c>
      <c r="E149">
        <v>13.28</v>
      </c>
      <c r="F149" t="s">
        <v>8</v>
      </c>
      <c r="G149" s="1">
        <v>0.15540000000000001</v>
      </c>
    </row>
    <row r="150" spans="1:7" x14ac:dyDescent="0.5">
      <c r="A150" t="s">
        <v>272</v>
      </c>
      <c r="B150">
        <v>13.85</v>
      </c>
      <c r="C150">
        <v>13.81</v>
      </c>
      <c r="D150">
        <v>14.58</v>
      </c>
      <c r="E150">
        <v>11.81</v>
      </c>
      <c r="F150" t="s">
        <v>377</v>
      </c>
      <c r="G150" s="1">
        <v>-5.9999999999999995E-4</v>
      </c>
    </row>
    <row r="151" spans="1:7" x14ac:dyDescent="0.5">
      <c r="A151" t="s">
        <v>274</v>
      </c>
      <c r="B151">
        <v>13.86</v>
      </c>
      <c r="C151">
        <v>13.93</v>
      </c>
      <c r="D151">
        <v>15.72</v>
      </c>
      <c r="E151">
        <v>12.29</v>
      </c>
      <c r="F151" t="s">
        <v>386</v>
      </c>
      <c r="G151" s="1">
        <v>-2.8999999999999998E-3</v>
      </c>
    </row>
    <row r="152" spans="1:7" x14ac:dyDescent="0.5">
      <c r="A152" t="s">
        <v>276</v>
      </c>
      <c r="B152">
        <v>13.9</v>
      </c>
      <c r="C152">
        <v>15.82</v>
      </c>
      <c r="D152">
        <v>17.329999999999998</v>
      </c>
      <c r="E152">
        <v>13.53</v>
      </c>
      <c r="F152" t="s">
        <v>1239</v>
      </c>
      <c r="G152" s="1">
        <v>-0.14829999999999999</v>
      </c>
    </row>
    <row r="153" spans="1:7" x14ac:dyDescent="0.5">
      <c r="A153" t="s">
        <v>278</v>
      </c>
      <c r="B153">
        <v>16.32</v>
      </c>
      <c r="C153">
        <v>12.19</v>
      </c>
      <c r="D153">
        <v>17.670000000000002</v>
      </c>
      <c r="E153">
        <v>11.29</v>
      </c>
      <c r="F153" t="s">
        <v>1282</v>
      </c>
      <c r="G153" s="1">
        <v>0.34989999999999999</v>
      </c>
    </row>
    <row r="154" spans="1:7" x14ac:dyDescent="0.5">
      <c r="A154" t="s">
        <v>280</v>
      </c>
      <c r="B154">
        <v>12.09</v>
      </c>
      <c r="C154">
        <v>9.99</v>
      </c>
      <c r="D154">
        <v>12.4</v>
      </c>
      <c r="E154">
        <v>9.11</v>
      </c>
      <c r="F154" t="s">
        <v>795</v>
      </c>
      <c r="G154" s="1">
        <v>0.2054</v>
      </c>
    </row>
    <row r="155" spans="1:7" x14ac:dyDescent="0.5">
      <c r="A155" t="s">
        <v>282</v>
      </c>
      <c r="B155">
        <v>10.029999999999999</v>
      </c>
      <c r="C155">
        <v>8.42</v>
      </c>
      <c r="D155">
        <v>10.53</v>
      </c>
      <c r="E155">
        <v>8.26</v>
      </c>
      <c r="F155" t="s">
        <v>1283</v>
      </c>
      <c r="G155" s="1">
        <v>0.18140000000000001</v>
      </c>
    </row>
    <row r="156" spans="1:7" x14ac:dyDescent="0.5">
      <c r="A156" t="s">
        <v>284</v>
      </c>
      <c r="B156">
        <v>8.49</v>
      </c>
      <c r="C156">
        <v>10.87</v>
      </c>
      <c r="D156">
        <v>12.1</v>
      </c>
      <c r="E156">
        <v>7.74</v>
      </c>
      <c r="F156" t="s">
        <v>1284</v>
      </c>
      <c r="G156" s="1">
        <v>-0.2036</v>
      </c>
    </row>
    <row r="157" spans="1:7" x14ac:dyDescent="0.5">
      <c r="A157" t="s">
        <v>286</v>
      </c>
      <c r="B157">
        <v>10.66</v>
      </c>
      <c r="C157">
        <v>12.93</v>
      </c>
      <c r="D157">
        <v>12.95</v>
      </c>
      <c r="E157">
        <v>10.199999999999999</v>
      </c>
      <c r="F157" t="s">
        <v>399</v>
      </c>
      <c r="G157" s="1">
        <v>-0.17299999999999999</v>
      </c>
    </row>
    <row r="158" spans="1:7" x14ac:dyDescent="0.5">
      <c r="A158" t="s">
        <v>288</v>
      </c>
      <c r="B158">
        <v>12.89</v>
      </c>
      <c r="C158">
        <v>11.56</v>
      </c>
      <c r="D158">
        <v>12.97</v>
      </c>
      <c r="E158">
        <v>10.57</v>
      </c>
      <c r="F158" t="s">
        <v>1285</v>
      </c>
      <c r="G158" s="1">
        <v>0.14369999999999999</v>
      </c>
    </row>
    <row r="159" spans="1:7" x14ac:dyDescent="0.5">
      <c r="A159" t="s">
        <v>290</v>
      </c>
      <c r="B159">
        <v>11.27</v>
      </c>
      <c r="C159">
        <v>9</v>
      </c>
      <c r="D159">
        <v>11.53</v>
      </c>
      <c r="E159">
        <v>8.82</v>
      </c>
      <c r="F159" t="s">
        <v>363</v>
      </c>
      <c r="G159" s="1">
        <v>0.25919999999999999</v>
      </c>
    </row>
    <row r="160" spans="1:7" x14ac:dyDescent="0.5">
      <c r="A160" t="s">
        <v>292</v>
      </c>
      <c r="B160">
        <v>8.9499999999999993</v>
      </c>
      <c r="C160">
        <v>7.29</v>
      </c>
      <c r="D160">
        <v>9.17</v>
      </c>
      <c r="E160">
        <v>6.97</v>
      </c>
      <c r="F160" t="s">
        <v>1241</v>
      </c>
      <c r="G160" s="1">
        <v>0.25</v>
      </c>
    </row>
    <row r="161" spans="1:7" x14ac:dyDescent="0.5">
      <c r="A161" t="s">
        <v>293</v>
      </c>
      <c r="B161">
        <v>7.16</v>
      </c>
      <c r="C161">
        <v>6.51</v>
      </c>
      <c r="D161">
        <v>7.35</v>
      </c>
      <c r="E161">
        <v>5.88</v>
      </c>
      <c r="F161" t="s">
        <v>1286</v>
      </c>
      <c r="G161" s="1">
        <v>9.8199999999999996E-2</v>
      </c>
    </row>
    <row r="162" spans="1:7" x14ac:dyDescent="0.5">
      <c r="A162" t="s">
        <v>295</v>
      </c>
      <c r="B162">
        <v>6.52</v>
      </c>
      <c r="C162">
        <v>3.73</v>
      </c>
      <c r="D162">
        <v>7.66</v>
      </c>
      <c r="E162">
        <v>3.53</v>
      </c>
      <c r="F162" t="s">
        <v>840</v>
      </c>
      <c r="G162" s="1">
        <v>0.81110000000000004</v>
      </c>
    </row>
    <row r="163" spans="1:7" x14ac:dyDescent="0.5">
      <c r="A163" t="s">
        <v>297</v>
      </c>
      <c r="B163">
        <v>3.6</v>
      </c>
      <c r="C163">
        <v>2.82</v>
      </c>
      <c r="D163">
        <v>3.88</v>
      </c>
      <c r="E163">
        <v>2.68</v>
      </c>
      <c r="F163" t="s">
        <v>304</v>
      </c>
      <c r="G163" s="1">
        <v>0.4229</v>
      </c>
    </row>
    <row r="164" spans="1:7" x14ac:dyDescent="0.5">
      <c r="A164" t="s">
        <v>299</v>
      </c>
      <c r="B164">
        <v>2.5299999999999998</v>
      </c>
      <c r="C164">
        <v>2.33</v>
      </c>
      <c r="D164">
        <v>2.63</v>
      </c>
      <c r="E164">
        <v>2.2799999999999998</v>
      </c>
      <c r="F164" t="s">
        <v>1287</v>
      </c>
      <c r="G164" s="1">
        <v>9.0499999999999997E-2</v>
      </c>
    </row>
    <row r="165" spans="1:7" x14ac:dyDescent="0.5">
      <c r="A165" t="s">
        <v>301</v>
      </c>
      <c r="B165">
        <v>2.3199999999999998</v>
      </c>
      <c r="C165">
        <v>2.54</v>
      </c>
      <c r="D165">
        <v>2.67</v>
      </c>
      <c r="E165">
        <v>2.25</v>
      </c>
      <c r="F165" t="s">
        <v>1288</v>
      </c>
      <c r="G165" s="1">
        <v>-7.1999999999999995E-2</v>
      </c>
    </row>
    <row r="166" spans="1:7" x14ac:dyDescent="0.5">
      <c r="A166" t="s">
        <v>303</v>
      </c>
      <c r="B166">
        <v>2.5</v>
      </c>
      <c r="C166">
        <v>2.33</v>
      </c>
      <c r="D166">
        <v>2.58</v>
      </c>
      <c r="E166">
        <v>2.14</v>
      </c>
      <c r="F166" t="s">
        <v>1289</v>
      </c>
      <c r="G166" s="1">
        <v>0.1062</v>
      </c>
    </row>
    <row r="167" spans="1:7" x14ac:dyDescent="0.5">
      <c r="A167" t="s">
        <v>305</v>
      </c>
      <c r="B167">
        <v>2.2599999999999998</v>
      </c>
      <c r="C167">
        <v>2.2599999999999998</v>
      </c>
      <c r="D167">
        <v>2.39</v>
      </c>
      <c r="E167">
        <v>2.1800000000000002</v>
      </c>
      <c r="F167" t="s">
        <v>1290</v>
      </c>
      <c r="G167" s="1">
        <v>4.4000000000000003E-3</v>
      </c>
    </row>
    <row r="168" spans="1:7" x14ac:dyDescent="0.5">
      <c r="A168" t="s">
        <v>307</v>
      </c>
      <c r="B168">
        <v>2.25</v>
      </c>
      <c r="C168">
        <v>1.88</v>
      </c>
      <c r="D168">
        <v>2.29</v>
      </c>
      <c r="E168">
        <v>1.88</v>
      </c>
      <c r="F168" t="s">
        <v>1291</v>
      </c>
      <c r="G168" s="1">
        <v>0.1968</v>
      </c>
    </row>
    <row r="169" spans="1:7" x14ac:dyDescent="0.5">
      <c r="A169" t="s">
        <v>309</v>
      </c>
      <c r="B169">
        <v>1.88</v>
      </c>
      <c r="C169">
        <v>1.97</v>
      </c>
      <c r="D169">
        <v>2.0099999999999998</v>
      </c>
      <c r="E169">
        <v>1.79</v>
      </c>
      <c r="F169" t="s">
        <v>1292</v>
      </c>
      <c r="G169" s="1">
        <v>-3.5900000000000001E-2</v>
      </c>
    </row>
    <row r="170" spans="1:7" x14ac:dyDescent="0.5">
      <c r="A170" t="s">
        <v>311</v>
      </c>
      <c r="B170">
        <v>1.95</v>
      </c>
      <c r="C170">
        <v>1.9</v>
      </c>
      <c r="D170">
        <v>2.19</v>
      </c>
      <c r="E170">
        <v>1.82</v>
      </c>
      <c r="F170" t="s">
        <v>1293</v>
      </c>
      <c r="G170" s="1">
        <v>2.63E-2</v>
      </c>
    </row>
    <row r="171" spans="1:7" x14ac:dyDescent="0.5">
      <c r="A171" t="s">
        <v>313</v>
      </c>
      <c r="B171">
        <v>1.9</v>
      </c>
      <c r="C171">
        <v>1.87</v>
      </c>
      <c r="D171">
        <v>2.09</v>
      </c>
      <c r="E171">
        <v>1.7</v>
      </c>
      <c r="F171" t="s">
        <v>1294</v>
      </c>
      <c r="G171" s="1">
        <v>3.8300000000000001E-2</v>
      </c>
    </row>
    <row r="172" spans="1:7" x14ac:dyDescent="0.5">
      <c r="A172" t="s">
        <v>315</v>
      </c>
      <c r="B172">
        <v>1.83</v>
      </c>
      <c r="C172">
        <v>2.09</v>
      </c>
      <c r="D172">
        <v>2.4</v>
      </c>
      <c r="E172">
        <v>1.81</v>
      </c>
      <c r="F172" t="s">
        <v>1295</v>
      </c>
      <c r="G172" s="1">
        <v>-0.1244</v>
      </c>
    </row>
    <row r="173" spans="1:7" x14ac:dyDescent="0.5">
      <c r="A173" t="s">
        <v>317</v>
      </c>
      <c r="B173">
        <v>2.09</v>
      </c>
      <c r="C173">
        <v>1.9</v>
      </c>
      <c r="D173">
        <v>2.2999999999999998</v>
      </c>
      <c r="E173">
        <v>1.81</v>
      </c>
      <c r="F173" t="s">
        <v>1296</v>
      </c>
      <c r="G173" s="1">
        <v>6.0900000000000003E-2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32F8-EFFE-7D4E-B75D-4CC4822F05AC}">
  <dimension ref="A1:G173"/>
  <sheetViews>
    <sheetView workbookViewId="0">
      <selection activeCell="A13" sqref="A13:XFD14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108.6</v>
      </c>
      <c r="C2">
        <v>86.84</v>
      </c>
      <c r="D2">
        <v>111.37</v>
      </c>
      <c r="E2">
        <v>85.72</v>
      </c>
      <c r="F2" t="s">
        <v>757</v>
      </c>
      <c r="G2" s="1">
        <v>0.21329999999999999</v>
      </c>
    </row>
    <row r="3" spans="1:7" x14ac:dyDescent="0.5">
      <c r="A3" s="3">
        <v>46235</v>
      </c>
      <c r="B3">
        <v>89.51</v>
      </c>
      <c r="C3">
        <v>88.4</v>
      </c>
      <c r="D3">
        <v>107.57</v>
      </c>
      <c r="E3">
        <v>85.14</v>
      </c>
      <c r="F3" t="s">
        <v>349</v>
      </c>
      <c r="G3" s="1">
        <v>-7.6E-3</v>
      </c>
    </row>
    <row r="4" spans="1:7" x14ac:dyDescent="0.5">
      <c r="A4" s="3">
        <v>46204</v>
      </c>
      <c r="B4">
        <v>90.2</v>
      </c>
      <c r="C4">
        <v>135</v>
      </c>
      <c r="D4">
        <v>135.74</v>
      </c>
      <c r="E4">
        <v>81.790000000000006</v>
      </c>
      <c r="F4" t="s">
        <v>1285</v>
      </c>
      <c r="G4" s="1">
        <v>-0.35399999999999998</v>
      </c>
    </row>
    <row r="5" spans="1:7" x14ac:dyDescent="0.5">
      <c r="A5" s="3">
        <v>46174</v>
      </c>
      <c r="B5">
        <v>139.63</v>
      </c>
      <c r="C5">
        <v>109.43</v>
      </c>
      <c r="D5">
        <v>142.35</v>
      </c>
      <c r="E5">
        <v>98.33</v>
      </c>
      <c r="F5" t="s">
        <v>784</v>
      </c>
      <c r="G5" s="1">
        <v>0.21759999999999999</v>
      </c>
    </row>
    <row r="6" spans="1:7" x14ac:dyDescent="0.5">
      <c r="A6" s="3">
        <v>46143</v>
      </c>
      <c r="B6">
        <v>114.68</v>
      </c>
      <c r="C6">
        <v>93.2</v>
      </c>
      <c r="D6">
        <v>132.75</v>
      </c>
      <c r="E6">
        <v>92.61</v>
      </c>
      <c r="F6" t="s">
        <v>1488</v>
      </c>
      <c r="G6" s="1">
        <v>0.21379999999999999</v>
      </c>
    </row>
    <row r="7" spans="1:7" x14ac:dyDescent="0.5">
      <c r="A7" s="3">
        <v>46113</v>
      </c>
      <c r="B7">
        <v>94.48</v>
      </c>
      <c r="C7">
        <v>45</v>
      </c>
      <c r="D7">
        <v>95.69</v>
      </c>
      <c r="E7">
        <v>44.98</v>
      </c>
      <c r="F7" t="s">
        <v>1558</v>
      </c>
      <c r="G7" s="1">
        <v>1.1409</v>
      </c>
    </row>
    <row r="8" spans="1:7" x14ac:dyDescent="0.5">
      <c r="A8" s="3">
        <v>46082</v>
      </c>
      <c r="B8">
        <v>44.13</v>
      </c>
      <c r="C8">
        <v>44.2</v>
      </c>
      <c r="D8">
        <v>49.17</v>
      </c>
      <c r="E8">
        <v>40.630000000000003</v>
      </c>
      <c r="F8" t="s">
        <v>787</v>
      </c>
      <c r="G8" s="1">
        <v>-3.2399999999999998E-2</v>
      </c>
    </row>
    <row r="9" spans="1:7" x14ac:dyDescent="0.5">
      <c r="A9" s="3">
        <v>46054</v>
      </c>
      <c r="B9">
        <v>45.61</v>
      </c>
      <c r="C9">
        <v>45.63</v>
      </c>
      <c r="D9">
        <v>51.49</v>
      </c>
      <c r="E9">
        <v>42.88</v>
      </c>
      <c r="F9" t="s">
        <v>328</v>
      </c>
      <c r="G9" s="1">
        <v>-1.8499999999999999E-2</v>
      </c>
    </row>
    <row r="10" spans="1:7" x14ac:dyDescent="0.5">
      <c r="A10" s="3">
        <v>46023</v>
      </c>
      <c r="B10">
        <v>46.47</v>
      </c>
      <c r="C10">
        <v>37.770000000000003</v>
      </c>
      <c r="D10">
        <v>54.6</v>
      </c>
      <c r="E10">
        <v>37.76</v>
      </c>
      <c r="F10" t="s">
        <v>1236</v>
      </c>
      <c r="G10" s="1">
        <v>0.25929999999999997</v>
      </c>
    </row>
    <row r="11" spans="1:7" x14ac:dyDescent="0.5">
      <c r="A11" s="3">
        <v>45992</v>
      </c>
      <c r="B11">
        <v>36.9</v>
      </c>
      <c r="C11">
        <v>39.86</v>
      </c>
      <c r="D11">
        <v>44.02</v>
      </c>
      <c r="E11">
        <v>34.950000000000003</v>
      </c>
      <c r="F11" t="s">
        <v>348</v>
      </c>
      <c r="G11" s="1">
        <v>-9.0200000000000002E-2</v>
      </c>
    </row>
    <row r="12" spans="1:7" x14ac:dyDescent="0.5">
      <c r="A12" s="3">
        <v>45962</v>
      </c>
      <c r="B12">
        <v>40.56</v>
      </c>
      <c r="C12">
        <v>40.25</v>
      </c>
      <c r="D12">
        <v>40.590000000000003</v>
      </c>
      <c r="E12">
        <v>32.89</v>
      </c>
      <c r="F12" t="s">
        <v>1276</v>
      </c>
      <c r="G12" s="1">
        <v>1.43E-2</v>
      </c>
    </row>
    <row r="13" spans="1:7" x14ac:dyDescent="0.5">
      <c r="A13" s="3">
        <v>45931</v>
      </c>
      <c r="B13">
        <v>39.99</v>
      </c>
      <c r="C13">
        <v>33.53</v>
      </c>
      <c r="D13">
        <v>42.48</v>
      </c>
      <c r="E13">
        <v>33.5</v>
      </c>
      <c r="F13" t="s">
        <v>1486</v>
      </c>
      <c r="G13" s="1">
        <v>0.192</v>
      </c>
    </row>
    <row r="14" spans="1:7" x14ac:dyDescent="0.5">
      <c r="A14" s="3">
        <v>45901</v>
      </c>
      <c r="B14">
        <v>33.549999999999997</v>
      </c>
      <c r="C14">
        <v>23.88</v>
      </c>
      <c r="D14">
        <v>36.299999999999997</v>
      </c>
      <c r="E14">
        <v>23.68</v>
      </c>
      <c r="F14" t="s">
        <v>1487</v>
      </c>
      <c r="G14" s="1">
        <v>0.37780000000000002</v>
      </c>
    </row>
    <row r="15" spans="1:7" x14ac:dyDescent="0.5">
      <c r="A15" s="3">
        <v>45870</v>
      </c>
      <c r="B15">
        <v>24.35</v>
      </c>
      <c r="C15">
        <v>19.5</v>
      </c>
      <c r="D15">
        <v>26.53</v>
      </c>
      <c r="E15">
        <v>18.97</v>
      </c>
      <c r="F15" t="s">
        <v>1488</v>
      </c>
      <c r="G15" s="1">
        <v>0.2298</v>
      </c>
    </row>
    <row r="16" spans="1:7" x14ac:dyDescent="0.5">
      <c r="A16" s="3">
        <v>45839</v>
      </c>
      <c r="B16">
        <v>19.8</v>
      </c>
      <c r="C16">
        <v>22.33</v>
      </c>
      <c r="D16">
        <v>24.04</v>
      </c>
      <c r="E16">
        <v>19.66</v>
      </c>
      <c r="F16" t="s">
        <v>1280</v>
      </c>
      <c r="G16" s="1">
        <v>-0.11609999999999999</v>
      </c>
    </row>
    <row r="17" spans="1:7" x14ac:dyDescent="0.5">
      <c r="A17" t="s">
        <v>7</v>
      </c>
      <c r="B17">
        <v>22.4</v>
      </c>
      <c r="C17">
        <v>19.48</v>
      </c>
      <c r="D17">
        <v>23.38</v>
      </c>
      <c r="E17">
        <v>19.37</v>
      </c>
      <c r="F17" t="s">
        <v>8</v>
      </c>
      <c r="G17" s="1">
        <v>0.14580000000000001</v>
      </c>
    </row>
    <row r="18" spans="1:7" x14ac:dyDescent="0.5">
      <c r="A18" t="s">
        <v>9</v>
      </c>
      <c r="B18">
        <v>19.55</v>
      </c>
      <c r="C18">
        <v>20.22</v>
      </c>
      <c r="D18">
        <v>22.88</v>
      </c>
      <c r="E18">
        <v>19.309999999999999</v>
      </c>
      <c r="F18" t="s">
        <v>10</v>
      </c>
      <c r="G18" s="1">
        <v>-2.7400000000000001E-2</v>
      </c>
    </row>
    <row r="19" spans="1:7" x14ac:dyDescent="0.5">
      <c r="A19" t="s">
        <v>11</v>
      </c>
      <c r="B19">
        <v>20.100000000000001</v>
      </c>
      <c r="C19">
        <v>22.56</v>
      </c>
      <c r="D19">
        <v>23.9</v>
      </c>
      <c r="E19">
        <v>17.670000000000002</v>
      </c>
      <c r="F19" t="s">
        <v>12</v>
      </c>
      <c r="G19" s="1">
        <v>-0.1149</v>
      </c>
    </row>
    <row r="20" spans="1:7" x14ac:dyDescent="0.5">
      <c r="A20" t="s">
        <v>13</v>
      </c>
      <c r="B20">
        <v>22.71</v>
      </c>
      <c r="C20">
        <v>25</v>
      </c>
      <c r="D20">
        <v>26.41</v>
      </c>
      <c r="E20">
        <v>19.29</v>
      </c>
      <c r="F20" t="s">
        <v>14</v>
      </c>
      <c r="G20" s="1">
        <v>-4.2999999999999997E-2</v>
      </c>
    </row>
    <row r="21" spans="1:7" x14ac:dyDescent="0.5">
      <c r="A21" t="s">
        <v>15</v>
      </c>
      <c r="B21">
        <v>23.73</v>
      </c>
      <c r="C21">
        <v>18.97</v>
      </c>
      <c r="D21">
        <v>27.55</v>
      </c>
      <c r="E21">
        <v>18.78</v>
      </c>
      <c r="F21" t="s">
        <v>16</v>
      </c>
      <c r="G21" s="1">
        <v>0.2213</v>
      </c>
    </row>
    <row r="22" spans="1:7" x14ac:dyDescent="0.5">
      <c r="A22" t="s">
        <v>17</v>
      </c>
      <c r="B22">
        <v>19.43</v>
      </c>
      <c r="C22">
        <v>20.23</v>
      </c>
      <c r="D22">
        <v>22.41</v>
      </c>
      <c r="E22">
        <v>18.73</v>
      </c>
      <c r="F22" t="s">
        <v>18</v>
      </c>
      <c r="G22" s="1">
        <v>-3.09E-2</v>
      </c>
    </row>
    <row r="23" spans="1:7" x14ac:dyDescent="0.5">
      <c r="A23" t="s">
        <v>19</v>
      </c>
      <c r="B23">
        <v>20.05</v>
      </c>
      <c r="C23">
        <v>24.84</v>
      </c>
      <c r="D23">
        <v>25.48</v>
      </c>
      <c r="E23">
        <v>18.899999999999999</v>
      </c>
      <c r="F23" t="s">
        <v>20</v>
      </c>
      <c r="G23" s="1">
        <v>-0.1663</v>
      </c>
    </row>
    <row r="24" spans="1:7" x14ac:dyDescent="0.5">
      <c r="A24" t="s">
        <v>21</v>
      </c>
      <c r="B24">
        <v>24.05</v>
      </c>
      <c r="C24">
        <v>23</v>
      </c>
      <c r="D24">
        <v>26.43</v>
      </c>
      <c r="E24">
        <v>21.91</v>
      </c>
      <c r="F24" t="s">
        <v>22</v>
      </c>
      <c r="G24" s="1">
        <v>0.1176</v>
      </c>
    </row>
    <row r="25" spans="1:7" x14ac:dyDescent="0.5">
      <c r="A25" t="s">
        <v>23</v>
      </c>
      <c r="B25">
        <v>21.52</v>
      </c>
      <c r="C25">
        <v>23.46</v>
      </c>
      <c r="D25">
        <v>23.82</v>
      </c>
      <c r="E25">
        <v>21.47</v>
      </c>
      <c r="F25" t="s">
        <v>24</v>
      </c>
      <c r="G25" s="1">
        <v>-8.2699999999999996E-2</v>
      </c>
    </row>
    <row r="26" spans="1:7" x14ac:dyDescent="0.5">
      <c r="A26" t="s">
        <v>25</v>
      </c>
      <c r="B26">
        <v>23.46</v>
      </c>
      <c r="C26">
        <v>21.54</v>
      </c>
      <c r="D26">
        <v>24.66</v>
      </c>
      <c r="E26">
        <v>18.510000000000002</v>
      </c>
      <c r="F26" t="s">
        <v>26</v>
      </c>
      <c r="G26" s="1">
        <v>6.4399999999999999E-2</v>
      </c>
    </row>
    <row r="27" spans="1:7" x14ac:dyDescent="0.5">
      <c r="A27" t="s">
        <v>27</v>
      </c>
      <c r="B27">
        <v>22.04</v>
      </c>
      <c r="C27">
        <v>30.43</v>
      </c>
      <c r="D27">
        <v>30.71</v>
      </c>
      <c r="E27">
        <v>18.84</v>
      </c>
      <c r="F27" t="s">
        <v>28</v>
      </c>
      <c r="G27" s="1">
        <v>-0.28299999999999997</v>
      </c>
    </row>
    <row r="28" spans="1:7" x14ac:dyDescent="0.5">
      <c r="A28" t="s">
        <v>29</v>
      </c>
      <c r="B28">
        <v>30.74</v>
      </c>
      <c r="C28">
        <v>30.91</v>
      </c>
      <c r="D28">
        <v>37.159999999999997</v>
      </c>
      <c r="E28">
        <v>30</v>
      </c>
      <c r="F28" t="s">
        <v>30</v>
      </c>
      <c r="G28" s="1">
        <v>-7.4000000000000003E-3</v>
      </c>
    </row>
    <row r="29" spans="1:7" x14ac:dyDescent="0.5">
      <c r="A29" t="s">
        <v>31</v>
      </c>
      <c r="B29">
        <v>30.97</v>
      </c>
      <c r="C29">
        <v>31.03</v>
      </c>
      <c r="D29">
        <v>31.48</v>
      </c>
      <c r="E29">
        <v>29.94</v>
      </c>
      <c r="F29" t="s">
        <v>32</v>
      </c>
      <c r="G29" s="1">
        <v>3.8999999999999998E-3</v>
      </c>
    </row>
    <row r="30" spans="1:7" x14ac:dyDescent="0.5">
      <c r="A30" t="s">
        <v>33</v>
      </c>
      <c r="B30">
        <v>30.85</v>
      </c>
      <c r="C30">
        <v>30.17</v>
      </c>
      <c r="D30">
        <v>32.42</v>
      </c>
      <c r="E30">
        <v>29.73</v>
      </c>
      <c r="F30" t="s">
        <v>34</v>
      </c>
      <c r="G30" s="1">
        <v>1.2500000000000001E-2</v>
      </c>
    </row>
    <row r="31" spans="1:7" x14ac:dyDescent="0.5">
      <c r="A31" t="s">
        <v>35</v>
      </c>
      <c r="B31">
        <v>30.47</v>
      </c>
      <c r="C31">
        <v>44.29</v>
      </c>
      <c r="D31">
        <v>45.41</v>
      </c>
      <c r="E31">
        <v>30.42</v>
      </c>
      <c r="F31" t="s">
        <v>36</v>
      </c>
      <c r="G31" s="1">
        <v>-0.31019999999999998</v>
      </c>
    </row>
    <row r="32" spans="1:7" x14ac:dyDescent="0.5">
      <c r="A32" t="s">
        <v>37</v>
      </c>
      <c r="B32">
        <v>44.17</v>
      </c>
      <c r="C32">
        <v>43.41</v>
      </c>
      <c r="D32">
        <v>46.63</v>
      </c>
      <c r="E32">
        <v>40.57</v>
      </c>
      <c r="F32" t="s">
        <v>38</v>
      </c>
      <c r="G32" s="1">
        <v>2.5999999999999999E-2</v>
      </c>
    </row>
    <row r="33" spans="1:7" x14ac:dyDescent="0.5">
      <c r="A33" t="s">
        <v>39</v>
      </c>
      <c r="B33">
        <v>43.05</v>
      </c>
      <c r="C33">
        <v>43.15</v>
      </c>
      <c r="D33">
        <v>45.27</v>
      </c>
      <c r="E33">
        <v>41.6</v>
      </c>
      <c r="F33" t="s">
        <v>40</v>
      </c>
      <c r="G33" s="1">
        <v>-6.9999999999999999E-4</v>
      </c>
    </row>
    <row r="34" spans="1:7" x14ac:dyDescent="0.5">
      <c r="A34" t="s">
        <v>41</v>
      </c>
      <c r="B34">
        <v>43.08</v>
      </c>
      <c r="C34">
        <v>49.2</v>
      </c>
      <c r="D34">
        <v>50.3</v>
      </c>
      <c r="E34">
        <v>42.36</v>
      </c>
      <c r="F34" t="s">
        <v>42</v>
      </c>
      <c r="G34" s="1">
        <v>-0.14269999999999999</v>
      </c>
    </row>
    <row r="35" spans="1:7" x14ac:dyDescent="0.5">
      <c r="A35" t="s">
        <v>43</v>
      </c>
      <c r="B35">
        <v>50.25</v>
      </c>
      <c r="C35">
        <v>44.36</v>
      </c>
      <c r="D35">
        <v>51.28</v>
      </c>
      <c r="E35">
        <v>41.17</v>
      </c>
      <c r="F35" t="s">
        <v>44</v>
      </c>
      <c r="G35" s="1">
        <v>0.1242</v>
      </c>
    </row>
    <row r="36" spans="1:7" x14ac:dyDescent="0.5">
      <c r="A36" t="s">
        <v>45</v>
      </c>
      <c r="B36">
        <v>44.7</v>
      </c>
      <c r="C36">
        <v>36.5</v>
      </c>
      <c r="D36">
        <v>45.34</v>
      </c>
      <c r="E36">
        <v>36.28</v>
      </c>
      <c r="F36" t="s">
        <v>46</v>
      </c>
      <c r="G36" s="1">
        <v>0.22470000000000001</v>
      </c>
    </row>
    <row r="37" spans="1:7" x14ac:dyDescent="0.5">
      <c r="A37" t="s">
        <v>47</v>
      </c>
      <c r="B37">
        <v>36.5</v>
      </c>
      <c r="C37">
        <v>35.61</v>
      </c>
      <c r="D37">
        <v>37.22</v>
      </c>
      <c r="E37">
        <v>32.15</v>
      </c>
      <c r="F37" t="s">
        <v>48</v>
      </c>
      <c r="G37" s="1">
        <v>2.6700000000000002E-2</v>
      </c>
    </row>
    <row r="38" spans="1:7" x14ac:dyDescent="0.5">
      <c r="A38" t="s">
        <v>49</v>
      </c>
      <c r="B38">
        <v>35.549999999999997</v>
      </c>
      <c r="C38">
        <v>35.79</v>
      </c>
      <c r="D38">
        <v>40.07</v>
      </c>
      <c r="E38">
        <v>33.64</v>
      </c>
      <c r="F38" t="s">
        <v>50</v>
      </c>
      <c r="G38" s="1">
        <v>1.17E-2</v>
      </c>
    </row>
    <row r="39" spans="1:7" x14ac:dyDescent="0.5">
      <c r="A39" t="s">
        <v>51</v>
      </c>
      <c r="B39">
        <v>35.14</v>
      </c>
      <c r="C39">
        <v>35.82</v>
      </c>
      <c r="D39">
        <v>36.020000000000003</v>
      </c>
      <c r="E39">
        <v>32.020000000000003</v>
      </c>
      <c r="F39" t="s">
        <v>52</v>
      </c>
      <c r="G39" s="1">
        <v>-1.7600000000000001E-2</v>
      </c>
    </row>
    <row r="40" spans="1:7" x14ac:dyDescent="0.5">
      <c r="A40" t="s">
        <v>53</v>
      </c>
      <c r="B40">
        <v>35.770000000000003</v>
      </c>
      <c r="C40">
        <v>33.54</v>
      </c>
      <c r="D40">
        <v>37.19</v>
      </c>
      <c r="E40">
        <v>31.38</v>
      </c>
      <c r="F40" t="s">
        <v>54</v>
      </c>
      <c r="G40" s="1">
        <v>6.9699999999999998E-2</v>
      </c>
    </row>
    <row r="41" spans="1:7" x14ac:dyDescent="0.5">
      <c r="A41" t="s">
        <v>55</v>
      </c>
      <c r="B41">
        <v>33.44</v>
      </c>
      <c r="C41">
        <v>31.8</v>
      </c>
      <c r="D41">
        <v>37.11</v>
      </c>
      <c r="E41">
        <v>29.7</v>
      </c>
      <c r="F41" t="s">
        <v>56</v>
      </c>
      <c r="G41" s="1">
        <v>6.3600000000000004E-2</v>
      </c>
    </row>
    <row r="42" spans="1:7" x14ac:dyDescent="0.5">
      <c r="A42" t="s">
        <v>57</v>
      </c>
      <c r="B42">
        <v>31.44</v>
      </c>
      <c r="C42">
        <v>31.11</v>
      </c>
      <c r="D42">
        <v>32.29</v>
      </c>
      <c r="E42">
        <v>26.86</v>
      </c>
      <c r="F42" t="s">
        <v>58</v>
      </c>
      <c r="G42" s="1">
        <v>1.2200000000000001E-2</v>
      </c>
    </row>
    <row r="43" spans="1:7" x14ac:dyDescent="0.5">
      <c r="A43" t="s">
        <v>59</v>
      </c>
      <c r="B43">
        <v>31.06</v>
      </c>
      <c r="C43">
        <v>32.94</v>
      </c>
      <c r="D43">
        <v>33.840000000000003</v>
      </c>
      <c r="E43">
        <v>28.51</v>
      </c>
      <c r="F43" t="s">
        <v>60</v>
      </c>
      <c r="G43" s="1">
        <v>-4.9299999999999997E-2</v>
      </c>
    </row>
    <row r="44" spans="1:7" x14ac:dyDescent="0.5">
      <c r="A44" t="s">
        <v>61</v>
      </c>
      <c r="B44">
        <v>32.67</v>
      </c>
      <c r="C44">
        <v>25.03</v>
      </c>
      <c r="D44">
        <v>32.9</v>
      </c>
      <c r="E44">
        <v>24.97</v>
      </c>
      <c r="F44" t="s">
        <v>30</v>
      </c>
      <c r="G44" s="1">
        <v>0.3105</v>
      </c>
    </row>
    <row r="45" spans="1:7" x14ac:dyDescent="0.5">
      <c r="A45" t="s">
        <v>62</v>
      </c>
      <c r="B45">
        <v>24.93</v>
      </c>
      <c r="C45">
        <v>27.89</v>
      </c>
      <c r="D45">
        <v>31.17</v>
      </c>
      <c r="E45">
        <v>24.73</v>
      </c>
      <c r="F45" t="s">
        <v>63</v>
      </c>
      <c r="G45" s="1">
        <v>-0.1178</v>
      </c>
    </row>
    <row r="46" spans="1:7" x14ac:dyDescent="0.5">
      <c r="A46" t="s">
        <v>64</v>
      </c>
      <c r="B46">
        <v>28.26</v>
      </c>
      <c r="C46">
        <v>27.05</v>
      </c>
      <c r="D46">
        <v>30.49</v>
      </c>
      <c r="E46">
        <v>26.37</v>
      </c>
      <c r="F46" t="s">
        <v>65</v>
      </c>
      <c r="G46" s="1">
        <v>6.9199999999999998E-2</v>
      </c>
    </row>
    <row r="47" spans="1:7" x14ac:dyDescent="0.5">
      <c r="A47" t="s">
        <v>66</v>
      </c>
      <c r="B47">
        <v>26.43</v>
      </c>
      <c r="C47">
        <v>30.24</v>
      </c>
      <c r="D47">
        <v>30.48</v>
      </c>
      <c r="E47">
        <v>25.35</v>
      </c>
      <c r="F47" t="s">
        <v>67</v>
      </c>
      <c r="G47" s="1">
        <v>-0.1211</v>
      </c>
    </row>
    <row r="48" spans="1:7" x14ac:dyDescent="0.5">
      <c r="A48" t="s">
        <v>68</v>
      </c>
      <c r="B48">
        <v>30.07</v>
      </c>
      <c r="C48">
        <v>28.8</v>
      </c>
      <c r="D48">
        <v>31.34</v>
      </c>
      <c r="E48">
        <v>27.17</v>
      </c>
      <c r="F48" t="s">
        <v>69</v>
      </c>
      <c r="G48" s="1">
        <v>5.7700000000000001E-2</v>
      </c>
    </row>
    <row r="49" spans="1:7" x14ac:dyDescent="0.5">
      <c r="A49" t="s">
        <v>70</v>
      </c>
      <c r="B49">
        <v>28.43</v>
      </c>
      <c r="C49">
        <v>26.33</v>
      </c>
      <c r="D49">
        <v>29.22</v>
      </c>
      <c r="E49">
        <v>24.59</v>
      </c>
      <c r="F49" t="s">
        <v>71</v>
      </c>
      <c r="G49" s="1">
        <v>0.1032</v>
      </c>
    </row>
    <row r="50" spans="1:7" x14ac:dyDescent="0.5">
      <c r="A50" t="s">
        <v>72</v>
      </c>
      <c r="B50">
        <v>25.77</v>
      </c>
      <c r="C50">
        <v>31.57</v>
      </c>
      <c r="D50">
        <v>32.380000000000003</v>
      </c>
      <c r="E50">
        <v>25.74</v>
      </c>
      <c r="F50" t="s">
        <v>73</v>
      </c>
      <c r="G50" s="1">
        <v>-0.19270000000000001</v>
      </c>
    </row>
    <row r="51" spans="1:7" x14ac:dyDescent="0.5">
      <c r="A51" t="s">
        <v>74</v>
      </c>
      <c r="B51">
        <v>31.92</v>
      </c>
      <c r="C51">
        <v>36.049999999999997</v>
      </c>
      <c r="D51">
        <v>37.69</v>
      </c>
      <c r="E51">
        <v>31.77</v>
      </c>
      <c r="F51" t="s">
        <v>75</v>
      </c>
      <c r="G51" s="1">
        <v>-0.12089999999999999</v>
      </c>
    </row>
    <row r="52" spans="1:7" x14ac:dyDescent="0.5">
      <c r="A52" t="s">
        <v>76</v>
      </c>
      <c r="B52">
        <v>36.31</v>
      </c>
      <c r="C52">
        <v>37.090000000000003</v>
      </c>
      <c r="D52">
        <v>40.729999999999997</v>
      </c>
      <c r="E52">
        <v>35.24</v>
      </c>
      <c r="F52" t="s">
        <v>77</v>
      </c>
      <c r="G52" s="1">
        <v>-2.9399999999999999E-2</v>
      </c>
    </row>
    <row r="53" spans="1:7" x14ac:dyDescent="0.5">
      <c r="A53" t="s">
        <v>78</v>
      </c>
      <c r="B53">
        <v>37.409999999999997</v>
      </c>
      <c r="C53">
        <v>44.77</v>
      </c>
      <c r="D53">
        <v>44.93</v>
      </c>
      <c r="E53">
        <v>36.6</v>
      </c>
      <c r="F53" t="s">
        <v>79</v>
      </c>
      <c r="G53" s="1">
        <v>-0.1578</v>
      </c>
    </row>
    <row r="54" spans="1:7" x14ac:dyDescent="0.5">
      <c r="A54" t="s">
        <v>80</v>
      </c>
      <c r="B54">
        <v>44.42</v>
      </c>
      <c r="C54">
        <v>43.72</v>
      </c>
      <c r="D54">
        <v>46.64</v>
      </c>
      <c r="E54">
        <v>40.31</v>
      </c>
      <c r="F54" t="s">
        <v>81</v>
      </c>
      <c r="G54" s="1">
        <v>1.9E-2</v>
      </c>
    </row>
    <row r="55" spans="1:7" x14ac:dyDescent="0.5">
      <c r="A55" t="s">
        <v>82</v>
      </c>
      <c r="B55">
        <v>43.59</v>
      </c>
      <c r="C55">
        <v>49.83</v>
      </c>
      <c r="D55">
        <v>49.9</v>
      </c>
      <c r="E55">
        <v>43.5</v>
      </c>
      <c r="F55" t="s">
        <v>83</v>
      </c>
      <c r="G55" s="1">
        <v>-0.1205</v>
      </c>
    </row>
    <row r="56" spans="1:7" x14ac:dyDescent="0.5">
      <c r="A56" t="s">
        <v>84</v>
      </c>
      <c r="B56">
        <v>49.56</v>
      </c>
      <c r="C56">
        <v>47.54</v>
      </c>
      <c r="D56">
        <v>52.51</v>
      </c>
      <c r="E56">
        <v>44.07</v>
      </c>
      <c r="F56" t="s">
        <v>85</v>
      </c>
      <c r="G56" s="1">
        <v>3.9E-2</v>
      </c>
    </row>
    <row r="57" spans="1:7" x14ac:dyDescent="0.5">
      <c r="A57" t="s">
        <v>86</v>
      </c>
      <c r="B57">
        <v>47.7</v>
      </c>
      <c r="C57">
        <v>48.77</v>
      </c>
      <c r="D57">
        <v>49.97</v>
      </c>
      <c r="E57">
        <v>43.62</v>
      </c>
      <c r="F57" t="s">
        <v>87</v>
      </c>
      <c r="G57" s="1">
        <v>-2.29E-2</v>
      </c>
    </row>
    <row r="58" spans="1:7" x14ac:dyDescent="0.5">
      <c r="A58" t="s">
        <v>88</v>
      </c>
      <c r="B58">
        <v>48.82</v>
      </c>
      <c r="C58">
        <v>51.65</v>
      </c>
      <c r="D58">
        <v>56.28</v>
      </c>
      <c r="E58">
        <v>46.3</v>
      </c>
      <c r="F58" t="s">
        <v>89</v>
      </c>
      <c r="G58" s="1">
        <v>-5.1999999999999998E-2</v>
      </c>
    </row>
    <row r="59" spans="1:7" x14ac:dyDescent="0.5">
      <c r="A59" t="s">
        <v>90</v>
      </c>
      <c r="B59">
        <v>51.5</v>
      </c>
      <c r="C59">
        <v>49.84</v>
      </c>
      <c r="D59">
        <v>55</v>
      </c>
      <c r="E59">
        <v>48.33</v>
      </c>
      <c r="F59" t="s">
        <v>91</v>
      </c>
      <c r="G59" s="1">
        <v>4.6699999999999998E-2</v>
      </c>
    </row>
    <row r="60" spans="1:7" x14ac:dyDescent="0.5">
      <c r="A60" t="s">
        <v>92</v>
      </c>
      <c r="B60">
        <v>49.2</v>
      </c>
      <c r="C60">
        <v>49.4</v>
      </c>
      <c r="D60">
        <v>51.99</v>
      </c>
      <c r="E60">
        <v>48.12</v>
      </c>
      <c r="F60" t="s">
        <v>93</v>
      </c>
      <c r="G60" s="1">
        <v>4.1000000000000003E-3</v>
      </c>
    </row>
    <row r="61" spans="1:7" x14ac:dyDescent="0.5">
      <c r="A61" t="s">
        <v>94</v>
      </c>
      <c r="B61">
        <v>49</v>
      </c>
      <c r="C61">
        <v>53.65</v>
      </c>
      <c r="D61">
        <v>56.07</v>
      </c>
      <c r="E61">
        <v>47.87</v>
      </c>
      <c r="F61" t="s">
        <v>95</v>
      </c>
      <c r="G61" s="1">
        <v>-8.0299999999999996E-2</v>
      </c>
    </row>
    <row r="62" spans="1:7" x14ac:dyDescent="0.5">
      <c r="A62" t="s">
        <v>96</v>
      </c>
      <c r="B62">
        <v>53.28</v>
      </c>
      <c r="C62">
        <v>54.11</v>
      </c>
      <c r="D62">
        <v>55.48</v>
      </c>
      <c r="E62">
        <v>52.32</v>
      </c>
      <c r="F62" t="s">
        <v>97</v>
      </c>
      <c r="G62" s="1">
        <v>-1.44E-2</v>
      </c>
    </row>
    <row r="63" spans="1:7" x14ac:dyDescent="0.5">
      <c r="A63" t="s">
        <v>98</v>
      </c>
      <c r="B63">
        <v>54.06</v>
      </c>
      <c r="C63">
        <v>53.99</v>
      </c>
      <c r="D63">
        <v>54.87</v>
      </c>
      <c r="E63">
        <v>51.42</v>
      </c>
      <c r="F63" t="s">
        <v>99</v>
      </c>
      <c r="G63" s="1">
        <v>6.3E-3</v>
      </c>
    </row>
    <row r="64" spans="1:7" x14ac:dyDescent="0.5">
      <c r="A64" t="s">
        <v>100</v>
      </c>
      <c r="B64">
        <v>53.72</v>
      </c>
      <c r="C64">
        <v>56.13</v>
      </c>
      <c r="D64">
        <v>57.45</v>
      </c>
      <c r="E64">
        <v>52.31</v>
      </c>
      <c r="F64" t="s">
        <v>101</v>
      </c>
      <c r="G64" s="1">
        <v>-4.3099999999999999E-2</v>
      </c>
    </row>
    <row r="65" spans="1:7" x14ac:dyDescent="0.5">
      <c r="A65" t="s">
        <v>102</v>
      </c>
      <c r="B65">
        <v>56.14</v>
      </c>
      <c r="C65">
        <v>57.61</v>
      </c>
      <c r="D65">
        <v>58.41</v>
      </c>
      <c r="E65">
        <v>55.1</v>
      </c>
      <c r="F65" t="s">
        <v>103</v>
      </c>
      <c r="G65" s="1">
        <v>-1.72E-2</v>
      </c>
    </row>
    <row r="66" spans="1:7" x14ac:dyDescent="0.5">
      <c r="A66" t="s">
        <v>104</v>
      </c>
      <c r="B66">
        <v>57.12</v>
      </c>
      <c r="C66">
        <v>57.85</v>
      </c>
      <c r="D66">
        <v>58.01</v>
      </c>
      <c r="E66">
        <v>53.42</v>
      </c>
      <c r="F66" t="s">
        <v>105</v>
      </c>
      <c r="G66" s="1">
        <v>-7.1000000000000004E-3</v>
      </c>
    </row>
    <row r="67" spans="1:7" x14ac:dyDescent="0.5">
      <c r="A67" t="s">
        <v>106</v>
      </c>
      <c r="B67">
        <v>57.53</v>
      </c>
      <c r="C67">
        <v>64.72</v>
      </c>
      <c r="D67">
        <v>68.489999999999995</v>
      </c>
      <c r="E67">
        <v>57.07</v>
      </c>
      <c r="F67" t="s">
        <v>107</v>
      </c>
      <c r="G67" s="1">
        <v>-0.1011</v>
      </c>
    </row>
    <row r="68" spans="1:7" x14ac:dyDescent="0.5">
      <c r="A68" t="s">
        <v>108</v>
      </c>
      <c r="B68">
        <v>64</v>
      </c>
      <c r="C68">
        <v>61.72</v>
      </c>
      <c r="D68">
        <v>67.44</v>
      </c>
      <c r="E68">
        <v>57.91</v>
      </c>
      <c r="F68" t="s">
        <v>109</v>
      </c>
      <c r="G68" s="1">
        <v>5.2999999999999999E-2</v>
      </c>
    </row>
    <row r="69" spans="1:7" x14ac:dyDescent="0.5">
      <c r="A69" t="s">
        <v>110</v>
      </c>
      <c r="B69">
        <v>60.78</v>
      </c>
      <c r="C69">
        <v>55.95</v>
      </c>
      <c r="D69">
        <v>63.54</v>
      </c>
      <c r="E69">
        <v>55.71</v>
      </c>
      <c r="F69" t="s">
        <v>111</v>
      </c>
      <c r="G69" s="1">
        <v>9.4899999999999998E-2</v>
      </c>
    </row>
    <row r="70" spans="1:7" x14ac:dyDescent="0.5">
      <c r="A70" t="s">
        <v>112</v>
      </c>
      <c r="B70">
        <v>55.51</v>
      </c>
      <c r="C70">
        <v>49.89</v>
      </c>
      <c r="D70">
        <v>63.95</v>
      </c>
      <c r="E70">
        <v>49.33</v>
      </c>
      <c r="F70" t="s">
        <v>113</v>
      </c>
      <c r="G70" s="1">
        <v>0.1142</v>
      </c>
    </row>
    <row r="71" spans="1:7" x14ac:dyDescent="0.5">
      <c r="A71" t="s">
        <v>114</v>
      </c>
      <c r="B71">
        <v>49.82</v>
      </c>
      <c r="C71">
        <v>48.75</v>
      </c>
      <c r="D71">
        <v>52.65</v>
      </c>
      <c r="E71">
        <v>45.24</v>
      </c>
      <c r="F71" t="s">
        <v>115</v>
      </c>
      <c r="G71" s="1">
        <v>3.04E-2</v>
      </c>
    </row>
    <row r="72" spans="1:7" x14ac:dyDescent="0.5">
      <c r="A72" t="s">
        <v>116</v>
      </c>
      <c r="B72">
        <v>48.35</v>
      </c>
      <c r="C72">
        <v>44.96</v>
      </c>
      <c r="D72">
        <v>48.5</v>
      </c>
      <c r="E72">
        <v>44.24</v>
      </c>
      <c r="F72" t="s">
        <v>117</v>
      </c>
      <c r="G72" s="1">
        <v>9.1899999999999996E-2</v>
      </c>
    </row>
    <row r="73" spans="1:7" x14ac:dyDescent="0.5">
      <c r="A73" t="s">
        <v>118</v>
      </c>
      <c r="B73">
        <v>44.28</v>
      </c>
      <c r="C73">
        <v>52.4</v>
      </c>
      <c r="D73">
        <v>56.23</v>
      </c>
      <c r="E73">
        <v>43.61</v>
      </c>
      <c r="F73" t="s">
        <v>119</v>
      </c>
      <c r="G73" s="1">
        <v>-0.14480000000000001</v>
      </c>
    </row>
    <row r="74" spans="1:7" x14ac:dyDescent="0.5">
      <c r="A74" t="s">
        <v>120</v>
      </c>
      <c r="B74">
        <v>51.78</v>
      </c>
      <c r="C74">
        <v>50.91</v>
      </c>
      <c r="D74">
        <v>52.68</v>
      </c>
      <c r="E74">
        <v>48.42</v>
      </c>
      <c r="F74" t="s">
        <v>121</v>
      </c>
      <c r="G74" s="1">
        <v>1.6299999999999999E-2</v>
      </c>
    </row>
    <row r="75" spans="1:7" x14ac:dyDescent="0.5">
      <c r="A75" t="s">
        <v>122</v>
      </c>
      <c r="B75">
        <v>50.95</v>
      </c>
      <c r="C75">
        <v>48.27</v>
      </c>
      <c r="D75">
        <v>51.5</v>
      </c>
      <c r="E75">
        <v>47.7</v>
      </c>
      <c r="F75" t="s">
        <v>123</v>
      </c>
      <c r="G75" s="1">
        <v>6.7500000000000004E-2</v>
      </c>
    </row>
    <row r="76" spans="1:7" x14ac:dyDescent="0.5">
      <c r="A76" t="s">
        <v>124</v>
      </c>
      <c r="B76">
        <v>47.73</v>
      </c>
      <c r="C76">
        <v>59.91</v>
      </c>
      <c r="D76">
        <v>61.93</v>
      </c>
      <c r="E76">
        <v>46.97</v>
      </c>
      <c r="F76" t="s">
        <v>125</v>
      </c>
      <c r="G76" s="1">
        <v>-0.20219999999999999</v>
      </c>
    </row>
    <row r="77" spans="1:7" x14ac:dyDescent="0.5">
      <c r="A77" t="s">
        <v>126</v>
      </c>
      <c r="B77">
        <v>59.83</v>
      </c>
      <c r="C77">
        <v>62.49</v>
      </c>
      <c r="D77">
        <v>65.11</v>
      </c>
      <c r="E77">
        <v>56.76</v>
      </c>
      <c r="F77" t="s">
        <v>127</v>
      </c>
      <c r="G77" s="1">
        <v>-4.9299999999999997E-2</v>
      </c>
    </row>
    <row r="78" spans="1:7" x14ac:dyDescent="0.5">
      <c r="A78" t="s">
        <v>128</v>
      </c>
      <c r="B78">
        <v>62.93</v>
      </c>
      <c r="C78">
        <v>58.83</v>
      </c>
      <c r="D78">
        <v>64.14</v>
      </c>
      <c r="E78">
        <v>56.1</v>
      </c>
      <c r="F78" t="s">
        <v>129</v>
      </c>
      <c r="G78" s="1">
        <v>4.9200000000000001E-2</v>
      </c>
    </row>
    <row r="79" spans="1:7" x14ac:dyDescent="0.5">
      <c r="A79" t="s">
        <v>130</v>
      </c>
      <c r="B79">
        <v>59.98</v>
      </c>
      <c r="C79">
        <v>52.5</v>
      </c>
      <c r="D79">
        <v>62.13</v>
      </c>
      <c r="E79">
        <v>51.22</v>
      </c>
      <c r="F79" t="s">
        <v>131</v>
      </c>
      <c r="G79" s="1">
        <v>0.10829999999999999</v>
      </c>
    </row>
    <row r="80" spans="1:7" x14ac:dyDescent="0.5">
      <c r="A80" t="s">
        <v>132</v>
      </c>
      <c r="B80">
        <v>54.12</v>
      </c>
      <c r="C80">
        <v>55.79</v>
      </c>
      <c r="D80">
        <v>59.02</v>
      </c>
      <c r="E80">
        <v>43.63</v>
      </c>
      <c r="F80" t="s">
        <v>133</v>
      </c>
      <c r="G80" s="1">
        <v>-2.52E-2</v>
      </c>
    </row>
    <row r="81" spans="1:7" x14ac:dyDescent="0.5">
      <c r="A81" t="s">
        <v>134</v>
      </c>
      <c r="B81">
        <v>55.52</v>
      </c>
      <c r="C81">
        <v>64.45</v>
      </c>
      <c r="D81">
        <v>68.09</v>
      </c>
      <c r="E81">
        <v>53.6</v>
      </c>
      <c r="F81" t="s">
        <v>135</v>
      </c>
      <c r="G81" s="1">
        <v>-0.13159999999999999</v>
      </c>
    </row>
    <row r="82" spans="1:7" x14ac:dyDescent="0.5">
      <c r="A82" t="s">
        <v>136</v>
      </c>
      <c r="B82">
        <v>63.93</v>
      </c>
      <c r="C82">
        <v>60.24</v>
      </c>
      <c r="D82">
        <v>69.290000000000006</v>
      </c>
      <c r="E82">
        <v>58.52</v>
      </c>
      <c r="F82" t="s">
        <v>137</v>
      </c>
      <c r="G82" s="1">
        <v>6.8199999999999997E-2</v>
      </c>
    </row>
    <row r="83" spans="1:7" x14ac:dyDescent="0.5">
      <c r="A83" t="s">
        <v>138</v>
      </c>
      <c r="B83">
        <v>59.85</v>
      </c>
      <c r="C83">
        <v>58.55</v>
      </c>
      <c r="D83">
        <v>60.48</v>
      </c>
      <c r="E83">
        <v>55.75</v>
      </c>
      <c r="F83" t="s">
        <v>139</v>
      </c>
      <c r="G83" s="1">
        <v>3.1E-2</v>
      </c>
    </row>
    <row r="84" spans="1:7" x14ac:dyDescent="0.5">
      <c r="A84" t="s">
        <v>140</v>
      </c>
      <c r="B84">
        <v>58.05</v>
      </c>
      <c r="C84">
        <v>55.94</v>
      </c>
      <c r="D84">
        <v>59.13</v>
      </c>
      <c r="E84">
        <v>55.62</v>
      </c>
      <c r="F84" t="s">
        <v>141</v>
      </c>
      <c r="G84" s="1">
        <v>2.69E-2</v>
      </c>
    </row>
    <row r="85" spans="1:7" x14ac:dyDescent="0.5">
      <c r="A85" t="s">
        <v>142</v>
      </c>
      <c r="B85">
        <v>56.53</v>
      </c>
      <c r="C85">
        <v>51.97</v>
      </c>
      <c r="D85">
        <v>57.24</v>
      </c>
      <c r="E85">
        <v>48.53</v>
      </c>
      <c r="F85" t="s">
        <v>143</v>
      </c>
      <c r="G85" s="1">
        <v>9.7000000000000003E-2</v>
      </c>
    </row>
    <row r="86" spans="1:7" x14ac:dyDescent="0.5">
      <c r="A86" t="s">
        <v>144</v>
      </c>
      <c r="B86">
        <v>51.53</v>
      </c>
      <c r="C86">
        <v>47.12</v>
      </c>
      <c r="D86">
        <v>53.33</v>
      </c>
      <c r="E86">
        <v>46.49</v>
      </c>
      <c r="F86" t="s">
        <v>145</v>
      </c>
      <c r="G86" s="1">
        <v>8.6900000000000005E-2</v>
      </c>
    </row>
    <row r="87" spans="1:7" x14ac:dyDescent="0.5">
      <c r="A87" t="s">
        <v>146</v>
      </c>
      <c r="B87">
        <v>47.41</v>
      </c>
      <c r="C87">
        <v>50.52</v>
      </c>
      <c r="D87">
        <v>51.89</v>
      </c>
      <c r="E87">
        <v>44.8</v>
      </c>
      <c r="F87" t="s">
        <v>147</v>
      </c>
      <c r="G87" s="1">
        <v>-6.2100000000000002E-2</v>
      </c>
    </row>
    <row r="88" spans="1:7" x14ac:dyDescent="0.5">
      <c r="A88" t="s">
        <v>148</v>
      </c>
      <c r="B88">
        <v>50.55</v>
      </c>
      <c r="C88">
        <v>49.29</v>
      </c>
      <c r="D88">
        <v>53.5</v>
      </c>
      <c r="E88">
        <v>47.07</v>
      </c>
      <c r="F88" t="s">
        <v>149</v>
      </c>
      <c r="G88" s="1">
        <v>5.6000000000000001E-2</v>
      </c>
    </row>
    <row r="89" spans="1:7" x14ac:dyDescent="0.5">
      <c r="A89" t="s">
        <v>150</v>
      </c>
      <c r="B89">
        <v>47.87</v>
      </c>
      <c r="C89">
        <v>44.25</v>
      </c>
      <c r="D89">
        <v>48.48</v>
      </c>
      <c r="E89">
        <v>43.2</v>
      </c>
      <c r="F89" t="s">
        <v>151</v>
      </c>
      <c r="G89" s="1">
        <v>8.6999999999999994E-2</v>
      </c>
    </row>
    <row r="90" spans="1:7" x14ac:dyDescent="0.5">
      <c r="A90" t="s">
        <v>152</v>
      </c>
      <c r="B90">
        <v>44.04</v>
      </c>
      <c r="C90">
        <v>51.1</v>
      </c>
      <c r="D90">
        <v>51.82</v>
      </c>
      <c r="E90">
        <v>42.86</v>
      </c>
      <c r="F90" t="s">
        <v>153</v>
      </c>
      <c r="G90" s="1">
        <v>-0.1371</v>
      </c>
    </row>
    <row r="91" spans="1:7" x14ac:dyDescent="0.5">
      <c r="A91" t="s">
        <v>154</v>
      </c>
      <c r="B91">
        <v>51.04</v>
      </c>
      <c r="C91">
        <v>54.34</v>
      </c>
      <c r="D91">
        <v>59.59</v>
      </c>
      <c r="E91">
        <v>50.87</v>
      </c>
      <c r="F91" t="s">
        <v>155</v>
      </c>
      <c r="G91" s="1">
        <v>-4.9500000000000002E-2</v>
      </c>
    </row>
    <row r="92" spans="1:7" x14ac:dyDescent="0.5">
      <c r="A92" t="s">
        <v>156</v>
      </c>
      <c r="B92">
        <v>53.7</v>
      </c>
      <c r="C92">
        <v>53.44</v>
      </c>
      <c r="D92">
        <v>54.99</v>
      </c>
      <c r="E92">
        <v>51.7</v>
      </c>
      <c r="F92" t="s">
        <v>157</v>
      </c>
      <c r="G92" s="1">
        <v>1.4E-2</v>
      </c>
    </row>
    <row r="93" spans="1:7" x14ac:dyDescent="0.5">
      <c r="A93" t="s">
        <v>158</v>
      </c>
      <c r="B93">
        <v>52.96</v>
      </c>
      <c r="C93">
        <v>47.06</v>
      </c>
      <c r="D93">
        <v>53.61</v>
      </c>
      <c r="E93">
        <v>47.01</v>
      </c>
      <c r="F93" t="s">
        <v>159</v>
      </c>
      <c r="G93" s="1">
        <v>0.1239</v>
      </c>
    </row>
    <row r="94" spans="1:7" x14ac:dyDescent="0.5">
      <c r="A94" t="s">
        <v>160</v>
      </c>
      <c r="B94">
        <v>47.12</v>
      </c>
      <c r="C94">
        <v>45.96</v>
      </c>
      <c r="D94">
        <v>50.03</v>
      </c>
      <c r="E94">
        <v>44.39</v>
      </c>
      <c r="F94" t="s">
        <v>161</v>
      </c>
      <c r="G94" s="1">
        <v>4.0000000000000001E-3</v>
      </c>
    </row>
    <row r="95" spans="1:7" x14ac:dyDescent="0.5">
      <c r="A95" t="s">
        <v>162</v>
      </c>
      <c r="B95">
        <v>46.93</v>
      </c>
      <c r="C95">
        <v>50</v>
      </c>
      <c r="D95">
        <v>50.49</v>
      </c>
      <c r="E95">
        <v>43.51</v>
      </c>
      <c r="F95" t="s">
        <v>163</v>
      </c>
      <c r="G95" s="1">
        <v>-4.8300000000000003E-2</v>
      </c>
    </row>
    <row r="96" spans="1:7" x14ac:dyDescent="0.5">
      <c r="A96" t="s">
        <v>164</v>
      </c>
      <c r="B96">
        <v>49.31</v>
      </c>
      <c r="C96">
        <v>46.95</v>
      </c>
      <c r="D96">
        <v>49.32</v>
      </c>
      <c r="E96">
        <v>46.52</v>
      </c>
      <c r="F96" t="s">
        <v>165</v>
      </c>
      <c r="G96" s="1">
        <v>5.1799999999999999E-2</v>
      </c>
    </row>
    <row r="97" spans="1:7" x14ac:dyDescent="0.5">
      <c r="A97" t="s">
        <v>166</v>
      </c>
      <c r="B97">
        <v>46.88</v>
      </c>
      <c r="C97">
        <v>46.79</v>
      </c>
      <c r="D97">
        <v>49.72</v>
      </c>
      <c r="E97">
        <v>42.36</v>
      </c>
      <c r="F97" t="s">
        <v>167</v>
      </c>
      <c r="G97" s="1">
        <v>-8.6999999999999994E-3</v>
      </c>
    </row>
    <row r="98" spans="1:7" x14ac:dyDescent="0.5">
      <c r="A98" t="s">
        <v>168</v>
      </c>
      <c r="B98">
        <v>47.29</v>
      </c>
      <c r="C98">
        <v>48.38</v>
      </c>
      <c r="D98">
        <v>48.43</v>
      </c>
      <c r="E98">
        <v>44.06</v>
      </c>
      <c r="F98" t="s">
        <v>169</v>
      </c>
      <c r="G98" s="1">
        <v>-2.35E-2</v>
      </c>
    </row>
    <row r="99" spans="1:7" x14ac:dyDescent="0.5">
      <c r="A99" t="s">
        <v>170</v>
      </c>
      <c r="B99">
        <v>48.43</v>
      </c>
      <c r="C99">
        <v>48.05</v>
      </c>
      <c r="D99">
        <v>50.6</v>
      </c>
      <c r="E99">
        <v>46.19</v>
      </c>
      <c r="F99" t="s">
        <v>171</v>
      </c>
      <c r="G99" s="1">
        <v>6.8999999999999999E-3</v>
      </c>
    </row>
    <row r="100" spans="1:7" x14ac:dyDescent="0.5">
      <c r="A100" t="s">
        <v>172</v>
      </c>
      <c r="B100">
        <v>48.1</v>
      </c>
      <c r="C100">
        <v>49.04</v>
      </c>
      <c r="D100">
        <v>53.3</v>
      </c>
      <c r="E100">
        <v>46.43</v>
      </c>
      <c r="F100" t="s">
        <v>173</v>
      </c>
      <c r="G100" s="1">
        <v>-3.2399999999999998E-2</v>
      </c>
    </row>
    <row r="101" spans="1:7" x14ac:dyDescent="0.5">
      <c r="A101" t="s">
        <v>174</v>
      </c>
      <c r="B101">
        <v>49.71</v>
      </c>
      <c r="C101">
        <v>55.84</v>
      </c>
      <c r="D101">
        <v>57.6</v>
      </c>
      <c r="E101">
        <v>48.5</v>
      </c>
      <c r="F101" t="s">
        <v>175</v>
      </c>
      <c r="G101" s="1">
        <v>-9.9500000000000005E-2</v>
      </c>
    </row>
    <row r="102" spans="1:7" x14ac:dyDescent="0.5">
      <c r="A102" t="s">
        <v>176</v>
      </c>
      <c r="B102">
        <v>55.2</v>
      </c>
      <c r="C102">
        <v>51.64</v>
      </c>
      <c r="D102">
        <v>56.2</v>
      </c>
      <c r="E102">
        <v>51</v>
      </c>
      <c r="F102" t="s">
        <v>177</v>
      </c>
      <c r="G102" s="1">
        <v>6.9400000000000003E-2</v>
      </c>
    </row>
    <row r="103" spans="1:7" x14ac:dyDescent="0.5">
      <c r="A103" t="s">
        <v>178</v>
      </c>
      <c r="B103">
        <v>51.62</v>
      </c>
      <c r="C103">
        <v>51.69</v>
      </c>
      <c r="D103">
        <v>55.79</v>
      </c>
      <c r="E103">
        <v>47.29</v>
      </c>
      <c r="F103" t="s">
        <v>179</v>
      </c>
      <c r="G103" s="1">
        <v>-8.8000000000000005E-3</v>
      </c>
    </row>
    <row r="104" spans="1:7" x14ac:dyDescent="0.5">
      <c r="A104" t="s">
        <v>180</v>
      </c>
      <c r="B104">
        <v>52.08</v>
      </c>
      <c r="C104">
        <v>49.5</v>
      </c>
      <c r="D104">
        <v>53.78</v>
      </c>
      <c r="E104">
        <v>46.96</v>
      </c>
      <c r="F104" t="s">
        <v>181</v>
      </c>
      <c r="G104" s="1">
        <v>5.6599999999999998E-2</v>
      </c>
    </row>
    <row r="105" spans="1:7" x14ac:dyDescent="0.5">
      <c r="A105" t="s">
        <v>182</v>
      </c>
      <c r="B105">
        <v>49.29</v>
      </c>
      <c r="C105">
        <v>47.7</v>
      </c>
      <c r="D105">
        <v>50.9</v>
      </c>
      <c r="E105">
        <v>42.04</v>
      </c>
      <c r="F105" t="s">
        <v>183</v>
      </c>
      <c r="G105" s="1">
        <v>2.3900000000000001E-2</v>
      </c>
    </row>
    <row r="106" spans="1:7" x14ac:dyDescent="0.5">
      <c r="A106" t="s">
        <v>184</v>
      </c>
      <c r="B106">
        <v>48.14</v>
      </c>
      <c r="C106">
        <v>46.38</v>
      </c>
      <c r="D106">
        <v>50.85</v>
      </c>
      <c r="E106">
        <v>42.44</v>
      </c>
      <c r="F106" t="s">
        <v>185</v>
      </c>
      <c r="G106" s="1">
        <v>4.2900000000000001E-2</v>
      </c>
    </row>
    <row r="107" spans="1:7" x14ac:dyDescent="0.5">
      <c r="A107" t="s">
        <v>186</v>
      </c>
      <c r="B107">
        <v>46.16</v>
      </c>
      <c r="C107">
        <v>44.73</v>
      </c>
      <c r="D107">
        <v>47.64</v>
      </c>
      <c r="E107">
        <v>42.67</v>
      </c>
      <c r="F107" t="s">
        <v>187</v>
      </c>
      <c r="G107" s="1">
        <v>2.9399999999999999E-2</v>
      </c>
    </row>
    <row r="108" spans="1:7" x14ac:dyDescent="0.5">
      <c r="A108" t="s">
        <v>188</v>
      </c>
      <c r="B108">
        <v>44.84</v>
      </c>
      <c r="C108">
        <v>45.97</v>
      </c>
      <c r="D108">
        <v>47.3</v>
      </c>
      <c r="E108">
        <v>43.77</v>
      </c>
      <c r="F108" t="s">
        <v>189</v>
      </c>
      <c r="G108" s="1">
        <v>-1.43E-2</v>
      </c>
    </row>
    <row r="109" spans="1:7" x14ac:dyDescent="0.5">
      <c r="A109" t="s">
        <v>190</v>
      </c>
      <c r="B109">
        <v>45.49</v>
      </c>
      <c r="C109">
        <v>38.119999999999997</v>
      </c>
      <c r="D109">
        <v>45.8</v>
      </c>
      <c r="E109">
        <v>38.08</v>
      </c>
      <c r="F109" t="s">
        <v>191</v>
      </c>
      <c r="G109" s="1">
        <v>0.1946</v>
      </c>
    </row>
    <row r="110" spans="1:7" x14ac:dyDescent="0.5">
      <c r="A110" t="s">
        <v>192</v>
      </c>
      <c r="B110">
        <v>38.08</v>
      </c>
      <c r="C110">
        <v>35.24</v>
      </c>
      <c r="D110">
        <v>38.15</v>
      </c>
      <c r="E110">
        <v>34.93</v>
      </c>
      <c r="F110" t="s">
        <v>193</v>
      </c>
      <c r="G110" s="1">
        <v>8.5800000000000001E-2</v>
      </c>
    </row>
    <row r="111" spans="1:7" x14ac:dyDescent="0.5">
      <c r="A111" t="s">
        <v>194</v>
      </c>
      <c r="B111">
        <v>35.07</v>
      </c>
      <c r="C111">
        <v>35.659999999999997</v>
      </c>
      <c r="D111">
        <v>36.700000000000003</v>
      </c>
      <c r="E111">
        <v>34.380000000000003</v>
      </c>
      <c r="F111" t="s">
        <v>195</v>
      </c>
      <c r="G111" s="1">
        <v>-1.1299999999999999E-2</v>
      </c>
    </row>
    <row r="112" spans="1:7" x14ac:dyDescent="0.5">
      <c r="A112" t="s">
        <v>196</v>
      </c>
      <c r="B112">
        <v>35.47</v>
      </c>
      <c r="C112">
        <v>33.51</v>
      </c>
      <c r="D112">
        <v>35.86</v>
      </c>
      <c r="E112">
        <v>33.229999999999997</v>
      </c>
      <c r="F112" t="s">
        <v>197</v>
      </c>
      <c r="G112" s="1">
        <v>5.1299999999999998E-2</v>
      </c>
    </row>
    <row r="113" spans="1:7" x14ac:dyDescent="0.5">
      <c r="A113" t="s">
        <v>198</v>
      </c>
      <c r="B113">
        <v>33.74</v>
      </c>
      <c r="C113">
        <v>36.119999999999997</v>
      </c>
      <c r="D113">
        <v>36.57</v>
      </c>
      <c r="E113">
        <v>33.340000000000003</v>
      </c>
      <c r="F113" t="s">
        <v>199</v>
      </c>
      <c r="G113" s="1">
        <v>-6.5600000000000006E-2</v>
      </c>
    </row>
    <row r="114" spans="1:7" x14ac:dyDescent="0.5">
      <c r="A114" t="s">
        <v>200</v>
      </c>
      <c r="B114">
        <v>36.11</v>
      </c>
      <c r="C114">
        <v>36.11</v>
      </c>
      <c r="D114">
        <v>37.17</v>
      </c>
      <c r="E114">
        <v>35.020000000000003</v>
      </c>
      <c r="F114" t="s">
        <v>201</v>
      </c>
      <c r="G114" s="1">
        <v>-1.1000000000000001E-3</v>
      </c>
    </row>
    <row r="115" spans="1:7" x14ac:dyDescent="0.5">
      <c r="A115" t="s">
        <v>202</v>
      </c>
      <c r="B115">
        <v>36.15</v>
      </c>
      <c r="C115">
        <v>36.19</v>
      </c>
      <c r="D115">
        <v>37.5</v>
      </c>
      <c r="E115">
        <v>35.21</v>
      </c>
      <c r="F115" t="s">
        <v>203</v>
      </c>
      <c r="G115" s="1">
        <v>2.2000000000000001E-3</v>
      </c>
    </row>
    <row r="116" spans="1:7" x14ac:dyDescent="0.5">
      <c r="A116" t="s">
        <v>204</v>
      </c>
      <c r="B116">
        <v>36.07</v>
      </c>
      <c r="C116">
        <v>35.85</v>
      </c>
      <c r="D116">
        <v>36.299999999999997</v>
      </c>
      <c r="E116">
        <v>34.659999999999997</v>
      </c>
      <c r="F116" t="s">
        <v>205</v>
      </c>
      <c r="G116" s="1">
        <v>-3.5999999999999999E-3</v>
      </c>
    </row>
    <row r="117" spans="1:7" x14ac:dyDescent="0.5">
      <c r="A117" t="s">
        <v>206</v>
      </c>
      <c r="B117">
        <v>36.200000000000003</v>
      </c>
      <c r="C117">
        <v>36.82</v>
      </c>
      <c r="D117">
        <v>36.950000000000003</v>
      </c>
      <c r="E117">
        <v>34.840000000000003</v>
      </c>
      <c r="F117" t="s">
        <v>207</v>
      </c>
      <c r="G117" s="1">
        <v>-1.6799999999999999E-2</v>
      </c>
    </row>
    <row r="118" spans="1:7" x14ac:dyDescent="0.5">
      <c r="A118" t="s">
        <v>208</v>
      </c>
      <c r="B118">
        <v>36.82</v>
      </c>
      <c r="C118">
        <v>36.61</v>
      </c>
      <c r="D118">
        <v>38.450000000000003</v>
      </c>
      <c r="E118">
        <v>36.19</v>
      </c>
      <c r="F118" t="s">
        <v>209</v>
      </c>
      <c r="G118" s="1">
        <v>1.52E-2</v>
      </c>
    </row>
    <row r="119" spans="1:7" x14ac:dyDescent="0.5">
      <c r="A119" t="s">
        <v>210</v>
      </c>
      <c r="B119">
        <v>36.270000000000003</v>
      </c>
      <c r="C119">
        <v>34.86</v>
      </c>
      <c r="D119">
        <v>37.340000000000003</v>
      </c>
      <c r="E119">
        <v>33.56</v>
      </c>
      <c r="F119" t="s">
        <v>211</v>
      </c>
      <c r="G119" s="1">
        <v>4.5199999999999997E-2</v>
      </c>
    </row>
    <row r="120" spans="1:7" x14ac:dyDescent="0.5">
      <c r="A120" t="s">
        <v>212</v>
      </c>
      <c r="B120">
        <v>34.700000000000003</v>
      </c>
      <c r="C120">
        <v>34.9</v>
      </c>
      <c r="D120">
        <v>35.659999999999997</v>
      </c>
      <c r="E120">
        <v>33.42</v>
      </c>
      <c r="F120" t="s">
        <v>213</v>
      </c>
      <c r="G120" s="1">
        <v>-4.8999999999999998E-3</v>
      </c>
    </row>
    <row r="121" spans="1:7" x14ac:dyDescent="0.5">
      <c r="A121" t="s">
        <v>214</v>
      </c>
      <c r="B121">
        <v>34.869999999999997</v>
      </c>
      <c r="C121">
        <v>37.69</v>
      </c>
      <c r="D121">
        <v>38.36</v>
      </c>
      <c r="E121">
        <v>34.71</v>
      </c>
      <c r="F121" t="s">
        <v>215</v>
      </c>
      <c r="G121" s="1">
        <v>-7.6300000000000007E-2</v>
      </c>
    </row>
    <row r="122" spans="1:7" x14ac:dyDescent="0.5">
      <c r="A122" t="s">
        <v>216</v>
      </c>
      <c r="B122">
        <v>37.75</v>
      </c>
      <c r="C122">
        <v>35.99</v>
      </c>
      <c r="D122">
        <v>38.049999999999997</v>
      </c>
      <c r="E122">
        <v>35.06</v>
      </c>
      <c r="F122" t="s">
        <v>217</v>
      </c>
      <c r="G122" s="1">
        <v>5.1799999999999999E-2</v>
      </c>
    </row>
    <row r="123" spans="1:7" x14ac:dyDescent="0.5">
      <c r="A123" t="s">
        <v>218</v>
      </c>
      <c r="B123">
        <v>35.89</v>
      </c>
      <c r="C123">
        <v>34.82</v>
      </c>
      <c r="D123">
        <v>35.9</v>
      </c>
      <c r="E123">
        <v>33.99</v>
      </c>
      <c r="F123" t="s">
        <v>219</v>
      </c>
      <c r="G123" s="1">
        <v>2.9499999999999998E-2</v>
      </c>
    </row>
    <row r="124" spans="1:7" x14ac:dyDescent="0.5">
      <c r="A124" t="s">
        <v>220</v>
      </c>
      <c r="B124">
        <v>34.86</v>
      </c>
      <c r="C124">
        <v>32.64</v>
      </c>
      <c r="D124">
        <v>35.93</v>
      </c>
      <c r="E124">
        <v>32.380000000000003</v>
      </c>
      <c r="F124" t="s">
        <v>221</v>
      </c>
      <c r="G124" s="1">
        <v>6.2799999999999995E-2</v>
      </c>
    </row>
    <row r="125" spans="1:7" x14ac:dyDescent="0.5">
      <c r="A125" t="s">
        <v>222</v>
      </c>
      <c r="B125">
        <v>32.799999999999997</v>
      </c>
      <c r="C125">
        <v>31.62</v>
      </c>
      <c r="D125">
        <v>33</v>
      </c>
      <c r="E125">
        <v>30.44</v>
      </c>
      <c r="F125" t="s">
        <v>223</v>
      </c>
      <c r="G125" s="1">
        <v>3.8300000000000001E-2</v>
      </c>
    </row>
    <row r="126" spans="1:7" x14ac:dyDescent="0.5">
      <c r="A126" t="s">
        <v>224</v>
      </c>
      <c r="B126">
        <v>31.59</v>
      </c>
      <c r="C126">
        <v>30.45</v>
      </c>
      <c r="D126">
        <v>31.65</v>
      </c>
      <c r="E126">
        <v>29.5</v>
      </c>
      <c r="F126" t="s">
        <v>225</v>
      </c>
      <c r="G126" s="1">
        <v>4.3299999999999998E-2</v>
      </c>
    </row>
    <row r="127" spans="1:7" x14ac:dyDescent="0.5">
      <c r="A127" t="s">
        <v>226</v>
      </c>
      <c r="B127">
        <v>30.28</v>
      </c>
      <c r="C127">
        <v>32.270000000000003</v>
      </c>
      <c r="D127">
        <v>32.47</v>
      </c>
      <c r="E127">
        <v>30.1</v>
      </c>
      <c r="F127" t="s">
        <v>227</v>
      </c>
      <c r="G127" s="1">
        <v>-6.4000000000000001E-2</v>
      </c>
    </row>
    <row r="128" spans="1:7" x14ac:dyDescent="0.5">
      <c r="A128" t="s">
        <v>228</v>
      </c>
      <c r="B128">
        <v>32.35</v>
      </c>
      <c r="C128">
        <v>29.93</v>
      </c>
      <c r="D128">
        <v>32.75</v>
      </c>
      <c r="E128">
        <v>29.75</v>
      </c>
      <c r="F128" t="s">
        <v>229</v>
      </c>
      <c r="G128" s="1">
        <v>9.3299999999999994E-2</v>
      </c>
    </row>
    <row r="129" spans="1:7" x14ac:dyDescent="0.5">
      <c r="A129" t="s">
        <v>230</v>
      </c>
      <c r="B129">
        <v>29.59</v>
      </c>
      <c r="C129">
        <v>30.72</v>
      </c>
      <c r="D129">
        <v>31.12</v>
      </c>
      <c r="E129">
        <v>27.68</v>
      </c>
      <c r="F129" t="s">
        <v>231</v>
      </c>
      <c r="G129" s="1">
        <v>-4.6100000000000002E-2</v>
      </c>
    </row>
    <row r="130" spans="1:7" x14ac:dyDescent="0.5">
      <c r="A130" t="s">
        <v>232</v>
      </c>
      <c r="B130">
        <v>31.02</v>
      </c>
      <c r="C130">
        <v>33.880000000000003</v>
      </c>
      <c r="D130">
        <v>34.01</v>
      </c>
      <c r="E130">
        <v>29.21</v>
      </c>
      <c r="F130" t="s">
        <v>233</v>
      </c>
      <c r="G130" s="1">
        <v>-9.9599999999999994E-2</v>
      </c>
    </row>
    <row r="131" spans="1:7" x14ac:dyDescent="0.5">
      <c r="A131" t="s">
        <v>234</v>
      </c>
      <c r="B131">
        <v>34.450000000000003</v>
      </c>
      <c r="C131">
        <v>35</v>
      </c>
      <c r="D131">
        <v>35.590000000000003</v>
      </c>
      <c r="E131">
        <v>33.81</v>
      </c>
      <c r="F131" t="s">
        <v>235</v>
      </c>
      <c r="G131" s="1">
        <v>-9.1999999999999998E-3</v>
      </c>
    </row>
    <row r="132" spans="1:7" x14ac:dyDescent="0.5">
      <c r="A132" t="s">
        <v>236</v>
      </c>
      <c r="B132">
        <v>34.770000000000003</v>
      </c>
      <c r="C132">
        <v>33.729999999999997</v>
      </c>
      <c r="D132">
        <v>35.29</v>
      </c>
      <c r="E132">
        <v>31.93</v>
      </c>
      <c r="F132" t="s">
        <v>237</v>
      </c>
      <c r="G132" s="1">
        <v>2.69E-2</v>
      </c>
    </row>
    <row r="133" spans="1:7" x14ac:dyDescent="0.5">
      <c r="A133" t="s">
        <v>238</v>
      </c>
      <c r="B133">
        <v>33.86</v>
      </c>
      <c r="C133">
        <v>30.21</v>
      </c>
      <c r="D133">
        <v>35.03</v>
      </c>
      <c r="E133">
        <v>29.46</v>
      </c>
      <c r="F133" t="s">
        <v>239</v>
      </c>
      <c r="G133" s="1">
        <v>0.1234</v>
      </c>
    </row>
    <row r="134" spans="1:7" x14ac:dyDescent="0.5">
      <c r="A134" t="s">
        <v>240</v>
      </c>
      <c r="B134">
        <v>30.14</v>
      </c>
      <c r="C134">
        <v>27.91</v>
      </c>
      <c r="D134">
        <v>30.32</v>
      </c>
      <c r="E134">
        <v>27.66</v>
      </c>
      <c r="F134" t="s">
        <v>241</v>
      </c>
      <c r="G134" s="1">
        <v>5.6099999999999997E-2</v>
      </c>
    </row>
    <row r="135" spans="1:7" x14ac:dyDescent="0.5">
      <c r="A135" t="s">
        <v>242</v>
      </c>
      <c r="B135">
        <v>28.54</v>
      </c>
      <c r="C135">
        <v>29</v>
      </c>
      <c r="D135">
        <v>29.68</v>
      </c>
      <c r="E135">
        <v>24.87</v>
      </c>
      <c r="F135" t="s">
        <v>243</v>
      </c>
      <c r="G135" s="1">
        <v>-1.4200000000000001E-2</v>
      </c>
    </row>
    <row r="136" spans="1:7" x14ac:dyDescent="0.5">
      <c r="A136" t="s">
        <v>244</v>
      </c>
      <c r="B136">
        <v>28.95</v>
      </c>
      <c r="C136">
        <v>30.49</v>
      </c>
      <c r="D136">
        <v>30.92</v>
      </c>
      <c r="E136">
        <v>27.62</v>
      </c>
      <c r="F136" t="s">
        <v>245</v>
      </c>
      <c r="G136" s="1">
        <v>-4.8000000000000001E-2</v>
      </c>
    </row>
    <row r="137" spans="1:7" x14ac:dyDescent="0.5">
      <c r="A137" t="s">
        <v>246</v>
      </c>
      <c r="B137">
        <v>30.41</v>
      </c>
      <c r="C137">
        <v>34.369999999999997</v>
      </c>
      <c r="D137">
        <v>34.590000000000003</v>
      </c>
      <c r="E137">
        <v>30.15</v>
      </c>
      <c r="F137" t="s">
        <v>247</v>
      </c>
      <c r="G137" s="1">
        <v>-0.11749999999999999</v>
      </c>
    </row>
    <row r="138" spans="1:7" x14ac:dyDescent="0.5">
      <c r="A138" t="s">
        <v>248</v>
      </c>
      <c r="B138">
        <v>34.46</v>
      </c>
      <c r="C138">
        <v>32.630000000000003</v>
      </c>
      <c r="D138">
        <v>34.75</v>
      </c>
      <c r="E138">
        <v>31.93</v>
      </c>
      <c r="F138" t="s">
        <v>249</v>
      </c>
      <c r="G138" s="1">
        <v>5.8700000000000002E-2</v>
      </c>
    </row>
    <row r="139" spans="1:7" x14ac:dyDescent="0.5">
      <c r="A139" t="s">
        <v>250</v>
      </c>
      <c r="B139">
        <v>32.549999999999997</v>
      </c>
      <c r="C139">
        <v>31.13</v>
      </c>
      <c r="D139">
        <v>33.04</v>
      </c>
      <c r="E139">
        <v>30.45</v>
      </c>
      <c r="F139" t="s">
        <v>251</v>
      </c>
      <c r="G139" s="1">
        <v>4.0899999999999999E-2</v>
      </c>
    </row>
    <row r="140" spans="1:7" x14ac:dyDescent="0.5">
      <c r="A140" t="s">
        <v>252</v>
      </c>
      <c r="B140">
        <v>31.27</v>
      </c>
      <c r="C140">
        <v>33.29</v>
      </c>
      <c r="D140">
        <v>34.5</v>
      </c>
      <c r="E140">
        <v>29.31</v>
      </c>
      <c r="F140" t="s">
        <v>253</v>
      </c>
      <c r="G140" s="1">
        <v>-5.9499999999999997E-2</v>
      </c>
    </row>
    <row r="141" spans="1:7" x14ac:dyDescent="0.5">
      <c r="A141" t="s">
        <v>254</v>
      </c>
      <c r="B141">
        <v>33.25</v>
      </c>
      <c r="C141">
        <v>33.06</v>
      </c>
      <c r="D141">
        <v>34.75</v>
      </c>
      <c r="E141">
        <v>32.61</v>
      </c>
      <c r="F141" t="s">
        <v>255</v>
      </c>
      <c r="G141" s="1">
        <v>6.4000000000000003E-3</v>
      </c>
    </row>
    <row r="142" spans="1:7" x14ac:dyDescent="0.5">
      <c r="A142" t="s">
        <v>256</v>
      </c>
      <c r="B142">
        <v>33.04</v>
      </c>
      <c r="C142">
        <v>36.67</v>
      </c>
      <c r="D142">
        <v>37.49</v>
      </c>
      <c r="E142">
        <v>33</v>
      </c>
      <c r="F142" t="s">
        <v>257</v>
      </c>
      <c r="G142" s="1">
        <v>-8.9599999999999999E-2</v>
      </c>
    </row>
    <row r="143" spans="1:7" x14ac:dyDescent="0.5">
      <c r="A143" t="s">
        <v>258</v>
      </c>
      <c r="B143">
        <v>36.29</v>
      </c>
      <c r="C143">
        <v>37.21</v>
      </c>
      <c r="D143">
        <v>37.9</v>
      </c>
      <c r="E143">
        <v>35.33</v>
      </c>
      <c r="F143" t="s">
        <v>259</v>
      </c>
      <c r="G143" s="1">
        <v>-2.58E-2</v>
      </c>
    </row>
    <row r="144" spans="1:7" x14ac:dyDescent="0.5">
      <c r="A144" t="s">
        <v>260</v>
      </c>
      <c r="B144">
        <v>37.25</v>
      </c>
      <c r="C144">
        <v>33.81</v>
      </c>
      <c r="D144">
        <v>37.69</v>
      </c>
      <c r="E144">
        <v>33</v>
      </c>
      <c r="F144" t="s">
        <v>261</v>
      </c>
      <c r="G144" s="1">
        <v>9.5299999999999996E-2</v>
      </c>
    </row>
    <row r="145" spans="1:7" x14ac:dyDescent="0.5">
      <c r="A145" t="s">
        <v>262</v>
      </c>
      <c r="B145">
        <v>34.01</v>
      </c>
      <c r="C145">
        <v>34.61</v>
      </c>
      <c r="D145">
        <v>34.78</v>
      </c>
      <c r="E145">
        <v>29.65</v>
      </c>
      <c r="F145" t="s">
        <v>263</v>
      </c>
      <c r="G145" s="1">
        <v>-2.3300000000000001E-2</v>
      </c>
    </row>
    <row r="146" spans="1:7" x14ac:dyDescent="0.5">
      <c r="A146" t="s">
        <v>264</v>
      </c>
      <c r="B146">
        <v>34.82</v>
      </c>
      <c r="C146">
        <v>34.76</v>
      </c>
      <c r="D146">
        <v>35.56</v>
      </c>
      <c r="E146">
        <v>33.630000000000003</v>
      </c>
      <c r="F146" t="s">
        <v>265</v>
      </c>
      <c r="G146" s="1">
        <v>-2.8999999999999998E-3</v>
      </c>
    </row>
    <row r="147" spans="1:7" x14ac:dyDescent="0.5">
      <c r="A147" t="s">
        <v>266</v>
      </c>
      <c r="B147">
        <v>34.92</v>
      </c>
      <c r="C147">
        <v>33.75</v>
      </c>
      <c r="D147">
        <v>35.200000000000003</v>
      </c>
      <c r="E147">
        <v>32.39</v>
      </c>
      <c r="F147" t="s">
        <v>267</v>
      </c>
      <c r="G147" s="1">
        <v>3.04E-2</v>
      </c>
    </row>
    <row r="148" spans="1:7" x14ac:dyDescent="0.5">
      <c r="A148" t="s">
        <v>268</v>
      </c>
      <c r="B148">
        <v>33.89</v>
      </c>
      <c r="C148">
        <v>30.99</v>
      </c>
      <c r="D148">
        <v>34.83</v>
      </c>
      <c r="E148">
        <v>30.44</v>
      </c>
      <c r="F148" t="s">
        <v>269</v>
      </c>
      <c r="G148" s="1">
        <v>9.6799999999999997E-2</v>
      </c>
    </row>
    <row r="149" spans="1:7" x14ac:dyDescent="0.5">
      <c r="A149" t="s">
        <v>270</v>
      </c>
      <c r="B149">
        <v>30.9</v>
      </c>
      <c r="C149">
        <v>27.31</v>
      </c>
      <c r="D149">
        <v>31</v>
      </c>
      <c r="E149">
        <v>27.12</v>
      </c>
      <c r="F149" t="s">
        <v>271</v>
      </c>
      <c r="G149" s="1">
        <v>0.13100000000000001</v>
      </c>
    </row>
    <row r="150" spans="1:7" x14ac:dyDescent="0.5">
      <c r="A150" t="s">
        <v>272</v>
      </c>
      <c r="B150">
        <v>27.32</v>
      </c>
      <c r="C150">
        <v>26.51</v>
      </c>
      <c r="D150">
        <v>27.32</v>
      </c>
      <c r="E150">
        <v>25.74</v>
      </c>
      <c r="F150" t="s">
        <v>273</v>
      </c>
      <c r="G150" s="1">
        <v>2.3599999999999999E-2</v>
      </c>
    </row>
    <row r="151" spans="1:7" x14ac:dyDescent="0.5">
      <c r="A151" t="s">
        <v>274</v>
      </c>
      <c r="B151">
        <v>26.69</v>
      </c>
      <c r="C151">
        <v>25.8</v>
      </c>
      <c r="D151">
        <v>27.24</v>
      </c>
      <c r="E151">
        <v>25.64</v>
      </c>
      <c r="F151" t="s">
        <v>275</v>
      </c>
      <c r="G151" s="1">
        <v>3.4099999999999998E-2</v>
      </c>
    </row>
    <row r="152" spans="1:7" x14ac:dyDescent="0.5">
      <c r="A152" t="s">
        <v>276</v>
      </c>
      <c r="B152">
        <v>25.81</v>
      </c>
      <c r="C152">
        <v>24.55</v>
      </c>
      <c r="D152">
        <v>26.06</v>
      </c>
      <c r="E152">
        <v>24.3</v>
      </c>
      <c r="F152" t="s">
        <v>277</v>
      </c>
      <c r="G152" s="1">
        <v>4.24E-2</v>
      </c>
    </row>
    <row r="153" spans="1:7" x14ac:dyDescent="0.5">
      <c r="A153" t="s">
        <v>278</v>
      </c>
      <c r="B153">
        <v>24.76</v>
      </c>
      <c r="C153">
        <v>24.5</v>
      </c>
      <c r="D153">
        <v>24.98</v>
      </c>
      <c r="E153">
        <v>23.5</v>
      </c>
      <c r="F153" t="s">
        <v>279</v>
      </c>
      <c r="G153" s="1">
        <v>8.9999999999999993E-3</v>
      </c>
    </row>
    <row r="154" spans="1:7" x14ac:dyDescent="0.5">
      <c r="A154" t="s">
        <v>280</v>
      </c>
      <c r="B154">
        <v>24.54</v>
      </c>
      <c r="C154">
        <v>25.78</v>
      </c>
      <c r="D154">
        <v>27.12</v>
      </c>
      <c r="E154">
        <v>24.4</v>
      </c>
      <c r="F154" t="s">
        <v>281</v>
      </c>
      <c r="G154" s="1">
        <v>-5.4300000000000001E-2</v>
      </c>
    </row>
    <row r="155" spans="1:7" x14ac:dyDescent="0.5">
      <c r="A155" t="s">
        <v>282</v>
      </c>
      <c r="B155">
        <v>25.95</v>
      </c>
      <c r="C155">
        <v>24</v>
      </c>
      <c r="D155">
        <v>26.04</v>
      </c>
      <c r="E155">
        <v>23.4</v>
      </c>
      <c r="F155" t="s">
        <v>283</v>
      </c>
      <c r="G155" s="1">
        <v>8.8499999999999995E-2</v>
      </c>
    </row>
    <row r="156" spans="1:7" x14ac:dyDescent="0.5">
      <c r="A156" t="s">
        <v>284</v>
      </c>
      <c r="B156">
        <v>23.84</v>
      </c>
      <c r="C156">
        <v>24.51</v>
      </c>
      <c r="D156">
        <v>25.29</v>
      </c>
      <c r="E156">
        <v>23.5</v>
      </c>
      <c r="F156" t="s">
        <v>285</v>
      </c>
      <c r="G156" s="1">
        <v>-2.5700000000000001E-2</v>
      </c>
    </row>
    <row r="157" spans="1:7" x14ac:dyDescent="0.5">
      <c r="A157" t="s">
        <v>286</v>
      </c>
      <c r="B157">
        <v>24.47</v>
      </c>
      <c r="C157">
        <v>22.94</v>
      </c>
      <c r="D157">
        <v>24.73</v>
      </c>
      <c r="E157">
        <v>22.48</v>
      </c>
      <c r="F157" t="s">
        <v>287</v>
      </c>
      <c r="G157" s="1">
        <v>6.7599999999999993E-2</v>
      </c>
    </row>
    <row r="158" spans="1:7" x14ac:dyDescent="0.5">
      <c r="A158" t="s">
        <v>288</v>
      </c>
      <c r="B158">
        <v>22.92</v>
      </c>
      <c r="C158">
        <v>22.21</v>
      </c>
      <c r="D158">
        <v>24.09</v>
      </c>
      <c r="E158">
        <v>21.97</v>
      </c>
      <c r="F158" t="s">
        <v>289</v>
      </c>
      <c r="G158" s="1">
        <v>4.2799999999999998E-2</v>
      </c>
    </row>
    <row r="159" spans="1:7" x14ac:dyDescent="0.5">
      <c r="A159" t="s">
        <v>290</v>
      </c>
      <c r="B159">
        <v>21.98</v>
      </c>
      <c r="C159">
        <v>23.41</v>
      </c>
      <c r="D159">
        <v>23.49</v>
      </c>
      <c r="E159">
        <v>21.89</v>
      </c>
      <c r="F159" t="s">
        <v>291</v>
      </c>
      <c r="G159" s="1">
        <v>-5.8299999999999998E-2</v>
      </c>
    </row>
    <row r="160" spans="1:7" x14ac:dyDescent="0.5">
      <c r="A160" t="s">
        <v>292</v>
      </c>
      <c r="B160">
        <v>23.34</v>
      </c>
      <c r="C160">
        <v>24.35</v>
      </c>
      <c r="D160">
        <v>24.43</v>
      </c>
      <c r="E160">
        <v>22.63</v>
      </c>
      <c r="F160" t="s">
        <v>34</v>
      </c>
      <c r="G160" s="1">
        <v>-3.6700000000000003E-2</v>
      </c>
    </row>
    <row r="161" spans="1:7" x14ac:dyDescent="0.5">
      <c r="A161" t="s">
        <v>293</v>
      </c>
      <c r="B161">
        <v>24.23</v>
      </c>
      <c r="C161">
        <v>24.88</v>
      </c>
      <c r="D161">
        <v>25.98</v>
      </c>
      <c r="E161">
        <v>23.41</v>
      </c>
      <c r="F161" t="s">
        <v>294</v>
      </c>
      <c r="G161" s="1">
        <v>-2.0999999999999999E-3</v>
      </c>
    </row>
    <row r="162" spans="1:7" x14ac:dyDescent="0.5">
      <c r="A162" t="s">
        <v>295</v>
      </c>
      <c r="B162">
        <v>24.28</v>
      </c>
      <c r="C162">
        <v>23.82</v>
      </c>
      <c r="D162">
        <v>24.71</v>
      </c>
      <c r="E162">
        <v>23.58</v>
      </c>
      <c r="F162" t="s">
        <v>296</v>
      </c>
      <c r="G162" s="1">
        <v>1.38E-2</v>
      </c>
    </row>
    <row r="163" spans="1:7" x14ac:dyDescent="0.5">
      <c r="A163" t="s">
        <v>297</v>
      </c>
      <c r="B163">
        <v>23.95</v>
      </c>
      <c r="C163">
        <v>21.67</v>
      </c>
      <c r="D163">
        <v>24</v>
      </c>
      <c r="E163">
        <v>20.75</v>
      </c>
      <c r="F163" t="s">
        <v>298</v>
      </c>
      <c r="G163" s="1">
        <v>9.6600000000000005E-2</v>
      </c>
    </row>
    <row r="164" spans="1:7" x14ac:dyDescent="0.5">
      <c r="A164" t="s">
        <v>299</v>
      </c>
      <c r="B164">
        <v>21.84</v>
      </c>
      <c r="C164">
        <v>20.79</v>
      </c>
      <c r="D164">
        <v>22.04</v>
      </c>
      <c r="E164">
        <v>20.66</v>
      </c>
      <c r="F164" t="s">
        <v>300</v>
      </c>
      <c r="G164" s="1">
        <v>4.5999999999999999E-2</v>
      </c>
    </row>
    <row r="165" spans="1:7" x14ac:dyDescent="0.5">
      <c r="A165" t="s">
        <v>301</v>
      </c>
      <c r="B165">
        <v>20.88</v>
      </c>
      <c r="C165">
        <v>21.19</v>
      </c>
      <c r="D165">
        <v>21.38</v>
      </c>
      <c r="E165">
        <v>20.100000000000001</v>
      </c>
      <c r="F165" t="s">
        <v>302</v>
      </c>
      <c r="G165" s="1">
        <v>-7.6E-3</v>
      </c>
    </row>
    <row r="166" spans="1:7" x14ac:dyDescent="0.5">
      <c r="A166" t="s">
        <v>303</v>
      </c>
      <c r="B166">
        <v>21.04</v>
      </c>
      <c r="C166">
        <v>21.15</v>
      </c>
      <c r="D166">
        <v>23.06</v>
      </c>
      <c r="E166">
        <v>20.88</v>
      </c>
      <c r="F166" t="s">
        <v>304</v>
      </c>
      <c r="G166" s="1">
        <v>2.0400000000000001E-2</v>
      </c>
    </row>
    <row r="167" spans="1:7" x14ac:dyDescent="0.5">
      <c r="A167" t="s">
        <v>305</v>
      </c>
      <c r="B167">
        <v>20.62</v>
      </c>
      <c r="C167">
        <v>19.88</v>
      </c>
      <c r="D167">
        <v>21.31</v>
      </c>
      <c r="E167">
        <v>19.5</v>
      </c>
      <c r="F167" t="s">
        <v>306</v>
      </c>
      <c r="G167" s="1">
        <v>5.3699999999999998E-2</v>
      </c>
    </row>
    <row r="168" spans="1:7" x14ac:dyDescent="0.5">
      <c r="A168" t="s">
        <v>307</v>
      </c>
      <c r="B168">
        <v>19.57</v>
      </c>
      <c r="C168">
        <v>21.76</v>
      </c>
      <c r="D168">
        <v>22.54</v>
      </c>
      <c r="E168">
        <v>19.23</v>
      </c>
      <c r="F168" t="s">
        <v>308</v>
      </c>
      <c r="G168" s="1">
        <v>-9.5200000000000007E-2</v>
      </c>
    </row>
    <row r="169" spans="1:7" x14ac:dyDescent="0.5">
      <c r="A169" t="s">
        <v>309</v>
      </c>
      <c r="B169">
        <v>21.63</v>
      </c>
      <c r="C169">
        <v>22.75</v>
      </c>
      <c r="D169">
        <v>23.17</v>
      </c>
      <c r="E169">
        <v>21.22</v>
      </c>
      <c r="F169" t="s">
        <v>310</v>
      </c>
      <c r="G169" s="1">
        <v>-4.5499999999999999E-2</v>
      </c>
    </row>
    <row r="170" spans="1:7" x14ac:dyDescent="0.5">
      <c r="A170" t="s">
        <v>311</v>
      </c>
      <c r="B170">
        <v>22.66</v>
      </c>
      <c r="C170">
        <v>25.03</v>
      </c>
      <c r="D170">
        <v>25.1</v>
      </c>
      <c r="E170">
        <v>22.48</v>
      </c>
      <c r="F170" t="s">
        <v>312</v>
      </c>
      <c r="G170" s="1">
        <v>-8.7400000000000005E-2</v>
      </c>
    </row>
    <row r="171" spans="1:7" x14ac:dyDescent="0.5">
      <c r="A171" t="s">
        <v>313</v>
      </c>
      <c r="B171">
        <v>24.83</v>
      </c>
      <c r="C171">
        <v>25.83</v>
      </c>
      <c r="D171">
        <v>26.9</v>
      </c>
      <c r="E171">
        <v>24.15</v>
      </c>
      <c r="F171" t="s">
        <v>314</v>
      </c>
      <c r="G171" s="1">
        <v>-3.39E-2</v>
      </c>
    </row>
    <row r="172" spans="1:7" x14ac:dyDescent="0.5">
      <c r="A172" t="s">
        <v>315</v>
      </c>
      <c r="B172">
        <v>25.7</v>
      </c>
      <c r="C172">
        <v>26.51</v>
      </c>
      <c r="D172">
        <v>26.86</v>
      </c>
      <c r="E172">
        <v>24.68</v>
      </c>
      <c r="F172" t="s">
        <v>316</v>
      </c>
      <c r="G172" s="1">
        <v>-3.56E-2</v>
      </c>
    </row>
    <row r="173" spans="1:7" x14ac:dyDescent="0.5">
      <c r="A173" t="s">
        <v>317</v>
      </c>
      <c r="B173">
        <v>26.65</v>
      </c>
      <c r="C173">
        <v>25.4</v>
      </c>
      <c r="D173">
        <v>27.75</v>
      </c>
      <c r="E173">
        <v>24.84</v>
      </c>
      <c r="F173" t="s">
        <v>318</v>
      </c>
      <c r="G173" s="1">
        <v>3.1300000000000001E-2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5DA3-93C9-424B-81FA-ACEE523DF061}">
  <dimension ref="A1:G173"/>
  <sheetViews>
    <sheetView workbookViewId="0">
      <selection activeCell="A2" sqref="A2:A173"/>
    </sheetView>
  </sheetViews>
  <sheetFormatPr defaultColWidth="11" defaultRowHeight="15.75" x14ac:dyDescent="0.5"/>
  <sheetData>
    <row r="1" spans="1:7" x14ac:dyDescent="0.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5">
      <c r="A2" s="3">
        <v>46266</v>
      </c>
      <c r="B2">
        <v>419</v>
      </c>
      <c r="C2">
        <v>446.4</v>
      </c>
      <c r="D2">
        <v>447.6</v>
      </c>
      <c r="E2">
        <v>419</v>
      </c>
      <c r="F2" t="s">
        <v>1559</v>
      </c>
      <c r="G2" s="1">
        <v>-7.51E-2</v>
      </c>
    </row>
    <row r="3" spans="1:7" x14ac:dyDescent="0.5">
      <c r="A3" s="3">
        <v>46235</v>
      </c>
      <c r="B3">
        <v>453</v>
      </c>
      <c r="C3">
        <v>482</v>
      </c>
      <c r="D3">
        <v>497.8</v>
      </c>
      <c r="E3">
        <v>436</v>
      </c>
      <c r="F3" t="s">
        <v>1560</v>
      </c>
      <c r="G3" s="1">
        <v>-4.6699999999999998E-2</v>
      </c>
    </row>
    <row r="4" spans="1:7" x14ac:dyDescent="0.5">
      <c r="A4" s="3">
        <v>46204</v>
      </c>
      <c r="B4">
        <v>475.2</v>
      </c>
      <c r="C4">
        <v>442.6</v>
      </c>
      <c r="D4">
        <v>494.8</v>
      </c>
      <c r="E4">
        <v>425.4</v>
      </c>
      <c r="F4" t="s">
        <v>1561</v>
      </c>
      <c r="G4" s="1">
        <v>0.1056</v>
      </c>
    </row>
    <row r="5" spans="1:7" x14ac:dyDescent="0.5">
      <c r="A5" s="3">
        <v>46174</v>
      </c>
      <c r="B5">
        <v>429.8</v>
      </c>
      <c r="C5">
        <v>432.4</v>
      </c>
      <c r="D5">
        <v>484.8</v>
      </c>
      <c r="E5">
        <v>411</v>
      </c>
      <c r="F5" t="s">
        <v>1562</v>
      </c>
      <c r="G5" s="1">
        <v>6.1000000000000004E-3</v>
      </c>
    </row>
    <row r="6" spans="1:7" x14ac:dyDescent="0.5">
      <c r="A6" s="3">
        <v>46143</v>
      </c>
      <c r="B6">
        <v>427.2</v>
      </c>
      <c r="C6">
        <v>469.8</v>
      </c>
      <c r="D6">
        <v>481</v>
      </c>
      <c r="E6">
        <v>420.4</v>
      </c>
      <c r="F6" t="s">
        <v>1563</v>
      </c>
      <c r="G6" s="1">
        <v>-8.6800000000000002E-2</v>
      </c>
    </row>
    <row r="7" spans="1:7" x14ac:dyDescent="0.5">
      <c r="A7" s="3">
        <v>46113</v>
      </c>
      <c r="B7">
        <v>467.8</v>
      </c>
      <c r="C7">
        <v>504</v>
      </c>
      <c r="D7">
        <v>526.5</v>
      </c>
      <c r="E7">
        <v>463.2</v>
      </c>
      <c r="F7" t="s">
        <v>1564</v>
      </c>
      <c r="G7" s="1">
        <v>-3.3500000000000002E-2</v>
      </c>
    </row>
    <row r="8" spans="1:7" x14ac:dyDescent="0.5">
      <c r="A8" s="3">
        <v>46082</v>
      </c>
      <c r="B8">
        <v>484</v>
      </c>
      <c r="C8">
        <v>511.5</v>
      </c>
      <c r="D8">
        <v>578</v>
      </c>
      <c r="E8">
        <v>476</v>
      </c>
      <c r="F8" t="s">
        <v>1565</v>
      </c>
      <c r="G8" s="1">
        <v>-6.5600000000000006E-2</v>
      </c>
    </row>
    <row r="9" spans="1:7" x14ac:dyDescent="0.5">
      <c r="A9" s="3">
        <v>46054</v>
      </c>
      <c r="B9">
        <v>518</v>
      </c>
      <c r="C9">
        <v>598</v>
      </c>
      <c r="D9">
        <v>604.5</v>
      </c>
      <c r="E9">
        <v>510.5</v>
      </c>
      <c r="F9" t="s">
        <v>1566</v>
      </c>
      <c r="G9" s="1">
        <v>-0.1452</v>
      </c>
    </row>
    <row r="10" spans="1:7" x14ac:dyDescent="0.5">
      <c r="A10" s="3">
        <v>46023</v>
      </c>
      <c r="B10">
        <v>606</v>
      </c>
      <c r="C10">
        <v>600.5</v>
      </c>
      <c r="D10">
        <v>639</v>
      </c>
      <c r="E10">
        <v>594</v>
      </c>
      <c r="F10" t="s">
        <v>1567</v>
      </c>
      <c r="G10" s="1">
        <v>1.17E-2</v>
      </c>
    </row>
    <row r="11" spans="1:7" x14ac:dyDescent="0.5">
      <c r="A11" s="3">
        <v>45992</v>
      </c>
      <c r="B11">
        <v>599</v>
      </c>
      <c r="C11">
        <v>613.5</v>
      </c>
      <c r="D11">
        <v>626</v>
      </c>
      <c r="E11">
        <v>592</v>
      </c>
      <c r="F11" t="s">
        <v>1568</v>
      </c>
      <c r="G11" s="1">
        <v>-2.0400000000000001E-2</v>
      </c>
    </row>
    <row r="12" spans="1:7" x14ac:dyDescent="0.5">
      <c r="A12" s="3">
        <v>45962</v>
      </c>
      <c r="B12">
        <v>611.5</v>
      </c>
      <c r="C12">
        <v>630.5</v>
      </c>
      <c r="D12">
        <v>662</v>
      </c>
      <c r="E12">
        <v>606</v>
      </c>
      <c r="F12" t="s">
        <v>1569</v>
      </c>
      <c r="G12" s="1">
        <v>-2.7799999999999998E-2</v>
      </c>
    </row>
    <row r="13" spans="1:7" x14ac:dyDescent="0.5">
      <c r="A13" s="3">
        <v>45931</v>
      </c>
      <c r="B13">
        <v>629</v>
      </c>
      <c r="C13">
        <v>667.5</v>
      </c>
      <c r="D13">
        <v>683</v>
      </c>
      <c r="E13">
        <v>602.5</v>
      </c>
      <c r="F13" t="s">
        <v>1489</v>
      </c>
      <c r="G13" s="1">
        <v>-5.1299999999999998E-2</v>
      </c>
    </row>
    <row r="14" spans="1:7" x14ac:dyDescent="0.5">
      <c r="A14" s="3">
        <v>45901</v>
      </c>
      <c r="B14">
        <v>663</v>
      </c>
      <c r="C14">
        <v>605</v>
      </c>
      <c r="D14">
        <v>666.5</v>
      </c>
      <c r="E14">
        <v>591</v>
      </c>
      <c r="F14" t="s">
        <v>1490</v>
      </c>
      <c r="G14" s="1">
        <v>0.1115</v>
      </c>
    </row>
    <row r="15" spans="1:7" x14ac:dyDescent="0.5">
      <c r="A15" s="3">
        <v>45870</v>
      </c>
      <c r="B15">
        <v>596.5</v>
      </c>
      <c r="C15">
        <v>551.5</v>
      </c>
      <c r="D15">
        <v>621</v>
      </c>
      <c r="E15">
        <v>533</v>
      </c>
      <c r="F15" t="s">
        <v>1491</v>
      </c>
      <c r="G15" s="1">
        <v>8.4500000000000006E-2</v>
      </c>
    </row>
    <row r="16" spans="1:7" x14ac:dyDescent="0.5">
      <c r="A16" s="3">
        <v>45839</v>
      </c>
      <c r="B16">
        <v>550</v>
      </c>
      <c r="C16">
        <v>508</v>
      </c>
      <c r="D16">
        <v>560</v>
      </c>
      <c r="E16">
        <v>493</v>
      </c>
      <c r="F16" t="s">
        <v>1492</v>
      </c>
      <c r="G16" s="1">
        <v>9.3399999999999997E-2</v>
      </c>
    </row>
    <row r="17" spans="1:7" x14ac:dyDescent="0.5">
      <c r="A17" t="s">
        <v>7</v>
      </c>
      <c r="B17">
        <v>503</v>
      </c>
      <c r="C17">
        <v>493</v>
      </c>
      <c r="D17">
        <v>521</v>
      </c>
      <c r="E17">
        <v>489.6</v>
      </c>
      <c r="F17" t="s">
        <v>1297</v>
      </c>
      <c r="G17" s="1">
        <v>9.5999999999999992E-3</v>
      </c>
    </row>
    <row r="18" spans="1:7" x14ac:dyDescent="0.5">
      <c r="A18" t="s">
        <v>9</v>
      </c>
      <c r="B18">
        <v>498.2</v>
      </c>
      <c r="C18">
        <v>478.2</v>
      </c>
      <c r="D18">
        <v>532</v>
      </c>
      <c r="E18">
        <v>477.4</v>
      </c>
      <c r="F18" t="s">
        <v>1298</v>
      </c>
      <c r="G18" s="1">
        <v>4.3999999999999997E-2</v>
      </c>
    </row>
    <row r="19" spans="1:7" x14ac:dyDescent="0.5">
      <c r="A19" t="s">
        <v>11</v>
      </c>
      <c r="B19">
        <v>477.2</v>
      </c>
      <c r="C19">
        <v>501</v>
      </c>
      <c r="D19">
        <v>511.5</v>
      </c>
      <c r="E19">
        <v>419</v>
      </c>
      <c r="F19" t="s">
        <v>1299</v>
      </c>
      <c r="G19" s="1">
        <v>-3.9800000000000002E-2</v>
      </c>
    </row>
    <row r="20" spans="1:7" x14ac:dyDescent="0.5">
      <c r="A20" t="s">
        <v>13</v>
      </c>
      <c r="B20">
        <v>497</v>
      </c>
      <c r="C20">
        <v>483.6</v>
      </c>
      <c r="D20">
        <v>547</v>
      </c>
      <c r="E20">
        <v>473.2</v>
      </c>
      <c r="F20" t="s">
        <v>1300</v>
      </c>
      <c r="G20" s="1">
        <v>3.8399999999999997E-2</v>
      </c>
    </row>
    <row r="21" spans="1:7" x14ac:dyDescent="0.5">
      <c r="A21" t="s">
        <v>15</v>
      </c>
      <c r="B21">
        <v>478.6</v>
      </c>
      <c r="C21">
        <v>400</v>
      </c>
      <c r="D21">
        <v>522</v>
      </c>
      <c r="E21">
        <v>394.2</v>
      </c>
      <c r="F21" t="s">
        <v>1301</v>
      </c>
      <c r="G21" s="1">
        <v>0.19289999999999999</v>
      </c>
    </row>
    <row r="22" spans="1:7" x14ac:dyDescent="0.5">
      <c r="A22" t="s">
        <v>17</v>
      </c>
      <c r="B22">
        <v>401.2</v>
      </c>
      <c r="C22">
        <v>417</v>
      </c>
      <c r="D22">
        <v>425</v>
      </c>
      <c r="E22">
        <v>364.8</v>
      </c>
      <c r="F22" t="s">
        <v>1302</v>
      </c>
      <c r="G22" s="1">
        <v>-3.7900000000000003E-2</v>
      </c>
    </row>
    <row r="23" spans="1:7" x14ac:dyDescent="0.5">
      <c r="A23" t="s">
        <v>19</v>
      </c>
      <c r="B23">
        <v>417</v>
      </c>
      <c r="C23">
        <v>398</v>
      </c>
      <c r="D23">
        <v>431</v>
      </c>
      <c r="E23">
        <v>394.4</v>
      </c>
      <c r="F23" t="s">
        <v>1303</v>
      </c>
      <c r="G23" s="1">
        <v>4.7699999999999999E-2</v>
      </c>
    </row>
    <row r="24" spans="1:7" x14ac:dyDescent="0.5">
      <c r="A24" t="s">
        <v>21</v>
      </c>
      <c r="B24">
        <v>398</v>
      </c>
      <c r="C24">
        <v>406</v>
      </c>
      <c r="D24">
        <v>436</v>
      </c>
      <c r="E24">
        <v>392</v>
      </c>
      <c r="F24" t="s">
        <v>1304</v>
      </c>
      <c r="G24" s="1">
        <v>-1.6299999999999999E-2</v>
      </c>
    </row>
    <row r="25" spans="1:7" x14ac:dyDescent="0.5">
      <c r="A25" t="s">
        <v>23</v>
      </c>
      <c r="B25">
        <v>404.6</v>
      </c>
      <c r="C25">
        <v>450</v>
      </c>
      <c r="D25">
        <v>482.4</v>
      </c>
      <c r="E25">
        <v>404.6</v>
      </c>
      <c r="F25" t="s">
        <v>1305</v>
      </c>
      <c r="G25" s="1">
        <v>-0.09</v>
      </c>
    </row>
    <row r="26" spans="1:7" x14ac:dyDescent="0.5">
      <c r="A26" t="s">
        <v>25</v>
      </c>
      <c r="B26">
        <v>444.6</v>
      </c>
      <c r="C26">
        <v>380</v>
      </c>
      <c r="D26">
        <v>457.4</v>
      </c>
      <c r="E26">
        <v>365</v>
      </c>
      <c r="F26" t="s">
        <v>1306</v>
      </c>
      <c r="G26" s="1">
        <v>0.16389999999999999</v>
      </c>
    </row>
    <row r="27" spans="1:7" x14ac:dyDescent="0.5">
      <c r="A27" t="s">
        <v>27</v>
      </c>
      <c r="B27">
        <v>382</v>
      </c>
      <c r="C27">
        <v>363.8</v>
      </c>
      <c r="D27">
        <v>385.6</v>
      </c>
      <c r="E27">
        <v>349</v>
      </c>
      <c r="F27" t="s">
        <v>1307</v>
      </c>
      <c r="G27" s="1">
        <v>5.4699999999999999E-2</v>
      </c>
    </row>
    <row r="28" spans="1:7" x14ac:dyDescent="0.5">
      <c r="A28" t="s">
        <v>29</v>
      </c>
      <c r="B28">
        <v>362.2</v>
      </c>
      <c r="C28">
        <v>367</v>
      </c>
      <c r="D28">
        <v>397.2</v>
      </c>
      <c r="E28">
        <v>351</v>
      </c>
      <c r="F28" t="s">
        <v>1308</v>
      </c>
      <c r="G28" s="1">
        <v>-2.7400000000000001E-2</v>
      </c>
    </row>
    <row r="29" spans="1:7" x14ac:dyDescent="0.5">
      <c r="A29" t="s">
        <v>31</v>
      </c>
      <c r="B29">
        <v>372.4</v>
      </c>
      <c r="C29">
        <v>366.8</v>
      </c>
      <c r="D29">
        <v>392</v>
      </c>
      <c r="E29">
        <v>366.6</v>
      </c>
      <c r="F29" t="s">
        <v>1309</v>
      </c>
      <c r="G29" s="1">
        <v>3.5000000000000003E-2</v>
      </c>
    </row>
    <row r="30" spans="1:7" x14ac:dyDescent="0.5">
      <c r="A30" t="s">
        <v>33</v>
      </c>
      <c r="B30">
        <v>359.8</v>
      </c>
      <c r="C30">
        <v>349</v>
      </c>
      <c r="D30">
        <v>401</v>
      </c>
      <c r="E30">
        <v>345.4</v>
      </c>
      <c r="F30" t="s">
        <v>1310</v>
      </c>
      <c r="G30" s="1">
        <v>3.6299999999999999E-2</v>
      </c>
    </row>
    <row r="31" spans="1:7" x14ac:dyDescent="0.5">
      <c r="A31" t="s">
        <v>35</v>
      </c>
      <c r="B31">
        <v>347.2</v>
      </c>
      <c r="C31">
        <v>309</v>
      </c>
      <c r="D31">
        <v>354.8</v>
      </c>
      <c r="E31">
        <v>297.8</v>
      </c>
      <c r="F31" t="s">
        <v>1311</v>
      </c>
      <c r="G31" s="1">
        <v>0.1429</v>
      </c>
    </row>
    <row r="32" spans="1:7" x14ac:dyDescent="0.5">
      <c r="A32" t="s">
        <v>37</v>
      </c>
      <c r="B32">
        <v>303.8</v>
      </c>
      <c r="C32">
        <v>273</v>
      </c>
      <c r="D32">
        <v>309.60000000000002</v>
      </c>
      <c r="E32">
        <v>265.8</v>
      </c>
      <c r="F32" t="s">
        <v>1312</v>
      </c>
      <c r="G32" s="1">
        <v>9.6000000000000002E-2</v>
      </c>
    </row>
    <row r="33" spans="1:7" x14ac:dyDescent="0.5">
      <c r="A33" t="s">
        <v>39</v>
      </c>
      <c r="B33">
        <v>277.2</v>
      </c>
      <c r="C33">
        <v>270</v>
      </c>
      <c r="D33">
        <v>297</v>
      </c>
      <c r="E33">
        <v>268</v>
      </c>
      <c r="F33" t="s">
        <v>1313</v>
      </c>
      <c r="G33" s="1">
        <v>2.4400000000000002E-2</v>
      </c>
    </row>
    <row r="34" spans="1:7" x14ac:dyDescent="0.5">
      <c r="A34" t="s">
        <v>41</v>
      </c>
      <c r="B34">
        <v>270.60000000000002</v>
      </c>
      <c r="C34">
        <v>300</v>
      </c>
      <c r="D34">
        <v>305</v>
      </c>
      <c r="E34">
        <v>260.2</v>
      </c>
      <c r="F34" t="s">
        <v>1314</v>
      </c>
      <c r="G34" s="1">
        <v>-7.8299999999999995E-2</v>
      </c>
    </row>
    <row r="35" spans="1:7" x14ac:dyDescent="0.5">
      <c r="A35" t="s">
        <v>43</v>
      </c>
      <c r="B35">
        <v>293.60000000000002</v>
      </c>
      <c r="C35">
        <v>324.8</v>
      </c>
      <c r="D35">
        <v>325.8</v>
      </c>
      <c r="E35">
        <v>263.60000000000002</v>
      </c>
      <c r="F35" t="s">
        <v>1315</v>
      </c>
      <c r="G35" s="1">
        <v>-0.1021</v>
      </c>
    </row>
    <row r="36" spans="1:7" x14ac:dyDescent="0.5">
      <c r="A36" t="s">
        <v>45</v>
      </c>
      <c r="B36">
        <v>327</v>
      </c>
      <c r="C36">
        <v>288.8</v>
      </c>
      <c r="D36">
        <v>332.6</v>
      </c>
      <c r="E36">
        <v>284.39999999999998</v>
      </c>
      <c r="F36" t="s">
        <v>1316</v>
      </c>
      <c r="G36" s="1">
        <v>0.13070000000000001</v>
      </c>
    </row>
    <row r="37" spans="1:7" x14ac:dyDescent="0.5">
      <c r="A37" t="s">
        <v>47</v>
      </c>
      <c r="B37">
        <v>289.2</v>
      </c>
      <c r="C37">
        <v>302</v>
      </c>
      <c r="D37">
        <v>317.2</v>
      </c>
      <c r="E37">
        <v>282.60000000000002</v>
      </c>
      <c r="F37" t="s">
        <v>1317</v>
      </c>
      <c r="G37" s="1">
        <v>-5.5500000000000001E-2</v>
      </c>
    </row>
    <row r="38" spans="1:7" x14ac:dyDescent="0.5">
      <c r="A38" t="s">
        <v>49</v>
      </c>
      <c r="B38">
        <v>306.2</v>
      </c>
      <c r="C38">
        <v>330</v>
      </c>
      <c r="D38">
        <v>335</v>
      </c>
      <c r="E38">
        <v>296.39999999999998</v>
      </c>
      <c r="F38" t="s">
        <v>1318</v>
      </c>
      <c r="G38" s="1">
        <v>-5.7799999999999997E-2</v>
      </c>
    </row>
    <row r="39" spans="1:7" x14ac:dyDescent="0.5">
      <c r="A39" t="s">
        <v>51</v>
      </c>
      <c r="B39">
        <v>325</v>
      </c>
      <c r="C39">
        <v>356</v>
      </c>
      <c r="D39">
        <v>361</v>
      </c>
      <c r="E39">
        <v>314.39999999999998</v>
      </c>
      <c r="F39" t="s">
        <v>1319</v>
      </c>
      <c r="G39" s="1">
        <v>-8.3000000000000004E-2</v>
      </c>
    </row>
    <row r="40" spans="1:7" x14ac:dyDescent="0.5">
      <c r="A40" t="s">
        <v>53</v>
      </c>
      <c r="B40">
        <v>354.4</v>
      </c>
      <c r="C40">
        <v>331.8</v>
      </c>
      <c r="D40">
        <v>363</v>
      </c>
      <c r="E40">
        <v>320</v>
      </c>
      <c r="F40" t="s">
        <v>1320</v>
      </c>
      <c r="G40" s="1">
        <v>6.88E-2</v>
      </c>
    </row>
    <row r="41" spans="1:7" x14ac:dyDescent="0.5">
      <c r="A41" t="s">
        <v>55</v>
      </c>
      <c r="B41">
        <v>331.6</v>
      </c>
      <c r="C41">
        <v>312.60000000000002</v>
      </c>
      <c r="D41">
        <v>364.4</v>
      </c>
      <c r="E41">
        <v>311.2</v>
      </c>
      <c r="F41" t="s">
        <v>1321</v>
      </c>
      <c r="G41" s="1">
        <v>6.7599999999999993E-2</v>
      </c>
    </row>
    <row r="42" spans="1:7" x14ac:dyDescent="0.5">
      <c r="A42" t="s">
        <v>57</v>
      </c>
      <c r="B42">
        <v>310.60000000000002</v>
      </c>
      <c r="C42">
        <v>352</v>
      </c>
      <c r="D42">
        <v>354.4</v>
      </c>
      <c r="E42">
        <v>306</v>
      </c>
      <c r="F42" t="s">
        <v>1322</v>
      </c>
      <c r="G42" s="1">
        <v>-9.8100000000000007E-2</v>
      </c>
    </row>
    <row r="43" spans="1:7" x14ac:dyDescent="0.5">
      <c r="A43" t="s">
        <v>59</v>
      </c>
      <c r="B43">
        <v>344.4</v>
      </c>
      <c r="C43">
        <v>389</v>
      </c>
      <c r="D43">
        <v>391</v>
      </c>
      <c r="E43">
        <v>333</v>
      </c>
      <c r="F43" t="s">
        <v>1323</v>
      </c>
      <c r="G43" s="1">
        <v>-0.10730000000000001</v>
      </c>
    </row>
    <row r="44" spans="1:7" x14ac:dyDescent="0.5">
      <c r="A44" t="s">
        <v>61</v>
      </c>
      <c r="B44">
        <v>385.8</v>
      </c>
      <c r="C44">
        <v>347.4</v>
      </c>
      <c r="D44">
        <v>397.6</v>
      </c>
      <c r="E44">
        <v>330.4</v>
      </c>
      <c r="F44" t="s">
        <v>1324</v>
      </c>
      <c r="G44" s="1">
        <v>0.12280000000000001</v>
      </c>
    </row>
    <row r="45" spans="1:7" x14ac:dyDescent="0.5">
      <c r="A45" t="s">
        <v>62</v>
      </c>
      <c r="B45">
        <v>343.6</v>
      </c>
      <c r="C45">
        <v>385.6</v>
      </c>
      <c r="D45">
        <v>397.2</v>
      </c>
      <c r="E45">
        <v>342.8</v>
      </c>
      <c r="F45" t="s">
        <v>1325</v>
      </c>
      <c r="G45" s="1">
        <v>-0.10100000000000001</v>
      </c>
    </row>
    <row r="46" spans="1:7" x14ac:dyDescent="0.5">
      <c r="A46" t="s">
        <v>64</v>
      </c>
      <c r="B46">
        <v>382.2</v>
      </c>
      <c r="C46">
        <v>317.23</v>
      </c>
      <c r="D46">
        <v>416.6</v>
      </c>
      <c r="E46">
        <v>312.29000000000002</v>
      </c>
      <c r="F46" t="s">
        <v>1326</v>
      </c>
      <c r="G46" s="1">
        <v>0.20480000000000001</v>
      </c>
    </row>
    <row r="47" spans="1:7" x14ac:dyDescent="0.5">
      <c r="A47" t="s">
        <v>66</v>
      </c>
      <c r="B47">
        <v>317.23</v>
      </c>
      <c r="C47">
        <v>283.02999999999997</v>
      </c>
      <c r="D47">
        <v>326.52999999999997</v>
      </c>
      <c r="E47">
        <v>276.95</v>
      </c>
      <c r="F47" t="s">
        <v>1327</v>
      </c>
      <c r="G47" s="1">
        <v>0.16300000000000001</v>
      </c>
    </row>
    <row r="48" spans="1:7" x14ac:dyDescent="0.5">
      <c r="A48" t="s">
        <v>68</v>
      </c>
      <c r="B48">
        <v>272.77999999999997</v>
      </c>
      <c r="C48">
        <v>197.36</v>
      </c>
      <c r="D48">
        <v>287.58999999999997</v>
      </c>
      <c r="E48">
        <v>197.36</v>
      </c>
      <c r="F48" t="s">
        <v>1328</v>
      </c>
      <c r="G48" s="1">
        <v>0.39689999999999998</v>
      </c>
    </row>
    <row r="49" spans="1:7" x14ac:dyDescent="0.5">
      <c r="A49" t="s">
        <v>70</v>
      </c>
      <c r="B49">
        <v>195.27</v>
      </c>
      <c r="C49">
        <v>250.74</v>
      </c>
      <c r="D49">
        <v>268.41000000000003</v>
      </c>
      <c r="E49">
        <v>188.63</v>
      </c>
      <c r="F49" t="s">
        <v>1329</v>
      </c>
      <c r="G49" s="1">
        <v>-0.22819999999999999</v>
      </c>
    </row>
    <row r="50" spans="1:7" x14ac:dyDescent="0.5">
      <c r="A50" t="s">
        <v>72</v>
      </c>
      <c r="B50">
        <v>253.02</v>
      </c>
      <c r="C50">
        <v>310.58</v>
      </c>
      <c r="D50">
        <v>316.85000000000002</v>
      </c>
      <c r="E50">
        <v>250.36</v>
      </c>
      <c r="F50" t="s">
        <v>1330</v>
      </c>
      <c r="G50" s="1">
        <v>-0.18579999999999999</v>
      </c>
    </row>
    <row r="51" spans="1:7" x14ac:dyDescent="0.5">
      <c r="A51" t="s">
        <v>74</v>
      </c>
      <c r="B51">
        <v>310.77</v>
      </c>
      <c r="C51">
        <v>286.83</v>
      </c>
      <c r="D51">
        <v>317.8</v>
      </c>
      <c r="E51">
        <v>273.54000000000002</v>
      </c>
      <c r="F51" t="s">
        <v>1331</v>
      </c>
      <c r="G51" s="1">
        <v>6.6500000000000004E-2</v>
      </c>
    </row>
    <row r="52" spans="1:7" x14ac:dyDescent="0.5">
      <c r="A52" t="s">
        <v>76</v>
      </c>
      <c r="B52">
        <v>291.39</v>
      </c>
      <c r="C52">
        <v>336.6</v>
      </c>
      <c r="D52">
        <v>339.26</v>
      </c>
      <c r="E52">
        <v>289.68</v>
      </c>
      <c r="F52" t="s">
        <v>1332</v>
      </c>
      <c r="G52" s="1">
        <v>-0.1343</v>
      </c>
    </row>
    <row r="53" spans="1:7" x14ac:dyDescent="0.5">
      <c r="A53" t="s">
        <v>78</v>
      </c>
      <c r="B53">
        <v>336.6</v>
      </c>
      <c r="C53">
        <v>343.82</v>
      </c>
      <c r="D53">
        <v>386.37</v>
      </c>
      <c r="E53">
        <v>336.03</v>
      </c>
      <c r="F53" t="s">
        <v>1333</v>
      </c>
      <c r="G53" s="1">
        <v>-2.2100000000000002E-2</v>
      </c>
    </row>
    <row r="54" spans="1:7" x14ac:dyDescent="0.5">
      <c r="A54" t="s">
        <v>80</v>
      </c>
      <c r="B54">
        <v>344.2</v>
      </c>
      <c r="C54">
        <v>359.97</v>
      </c>
      <c r="D54">
        <v>365.48</v>
      </c>
      <c r="E54">
        <v>313.43</v>
      </c>
      <c r="F54" t="s">
        <v>1334</v>
      </c>
      <c r="G54" s="1">
        <v>-3.9699999999999999E-2</v>
      </c>
    </row>
    <row r="55" spans="1:7" x14ac:dyDescent="0.5">
      <c r="A55" t="s">
        <v>82</v>
      </c>
      <c r="B55">
        <v>358.45</v>
      </c>
      <c r="C55">
        <v>348.57</v>
      </c>
      <c r="D55">
        <v>371.36</v>
      </c>
      <c r="E55">
        <v>308.87</v>
      </c>
      <c r="F55" t="s">
        <v>1335</v>
      </c>
      <c r="G55" s="1">
        <v>8.6E-3</v>
      </c>
    </row>
    <row r="56" spans="1:7" x14ac:dyDescent="0.5">
      <c r="A56" t="s">
        <v>84</v>
      </c>
      <c r="B56">
        <v>355.41</v>
      </c>
      <c r="C56">
        <v>400.05</v>
      </c>
      <c r="D56">
        <v>416.95</v>
      </c>
      <c r="E56">
        <v>282.08</v>
      </c>
      <c r="F56" t="s">
        <v>1336</v>
      </c>
      <c r="G56" s="1">
        <v>-0.1116</v>
      </c>
    </row>
    <row r="57" spans="1:7" x14ac:dyDescent="0.5">
      <c r="A57" t="s">
        <v>86</v>
      </c>
      <c r="B57">
        <v>400.05</v>
      </c>
      <c r="C57">
        <v>458.74</v>
      </c>
      <c r="D57">
        <v>463.49</v>
      </c>
      <c r="E57">
        <v>393.59</v>
      </c>
      <c r="F57" t="s">
        <v>1337</v>
      </c>
      <c r="G57" s="1">
        <v>-0.1076</v>
      </c>
    </row>
    <row r="58" spans="1:7" x14ac:dyDescent="0.5">
      <c r="A58" t="s">
        <v>88</v>
      </c>
      <c r="B58">
        <v>448.3</v>
      </c>
      <c r="C58">
        <v>423.87</v>
      </c>
      <c r="D58">
        <v>454.37</v>
      </c>
      <c r="E58">
        <v>388.1</v>
      </c>
      <c r="F58" t="s">
        <v>1338</v>
      </c>
      <c r="G58" s="1">
        <v>6.4600000000000005E-2</v>
      </c>
    </row>
    <row r="59" spans="1:7" x14ac:dyDescent="0.5">
      <c r="A59" t="s">
        <v>90</v>
      </c>
      <c r="B59">
        <v>421.1</v>
      </c>
      <c r="C59">
        <v>426.45</v>
      </c>
      <c r="D59">
        <v>443.41</v>
      </c>
      <c r="E59">
        <v>395.48</v>
      </c>
      <c r="F59" t="s">
        <v>1339</v>
      </c>
      <c r="G59" s="1">
        <v>-5.7000000000000002E-3</v>
      </c>
    </row>
    <row r="60" spans="1:7" x14ac:dyDescent="0.5">
      <c r="A60" t="s">
        <v>92</v>
      </c>
      <c r="B60">
        <v>423.5</v>
      </c>
      <c r="C60">
        <v>439.17</v>
      </c>
      <c r="D60">
        <v>469.22</v>
      </c>
      <c r="E60">
        <v>413.91</v>
      </c>
      <c r="F60" t="s">
        <v>1340</v>
      </c>
      <c r="G60" s="1">
        <v>-4.4900000000000002E-2</v>
      </c>
    </row>
    <row r="61" spans="1:7" x14ac:dyDescent="0.5">
      <c r="A61" t="s">
        <v>94</v>
      </c>
      <c r="B61">
        <v>443.41</v>
      </c>
      <c r="C61">
        <v>433.27</v>
      </c>
      <c r="D61">
        <v>474.76</v>
      </c>
      <c r="E61">
        <v>410.59</v>
      </c>
      <c r="F61" t="s">
        <v>1341</v>
      </c>
      <c r="G61" s="1">
        <v>4.2500000000000003E-2</v>
      </c>
    </row>
    <row r="62" spans="1:7" x14ac:dyDescent="0.5">
      <c r="A62" t="s">
        <v>96</v>
      </c>
      <c r="B62">
        <v>425.34</v>
      </c>
      <c r="C62">
        <v>447.1</v>
      </c>
      <c r="D62">
        <v>487.66</v>
      </c>
      <c r="E62">
        <v>408.57</v>
      </c>
      <c r="F62" t="s">
        <v>1342</v>
      </c>
      <c r="G62" s="1">
        <v>-4.1099999999999998E-2</v>
      </c>
    </row>
    <row r="63" spans="1:7" x14ac:dyDescent="0.5">
      <c r="A63" t="s">
        <v>98</v>
      </c>
      <c r="B63">
        <v>443.6</v>
      </c>
      <c r="C63">
        <v>438.8</v>
      </c>
      <c r="D63">
        <v>454.48</v>
      </c>
      <c r="E63">
        <v>379.99</v>
      </c>
      <c r="F63" t="s">
        <v>1343</v>
      </c>
      <c r="G63" s="1">
        <v>4.5999999999999999E-3</v>
      </c>
    </row>
    <row r="64" spans="1:7" x14ac:dyDescent="0.5">
      <c r="A64" t="s">
        <v>100</v>
      </c>
      <c r="B64">
        <v>441.57</v>
      </c>
      <c r="C64">
        <v>551.73</v>
      </c>
      <c r="D64">
        <v>551.73</v>
      </c>
      <c r="E64">
        <v>389.02</v>
      </c>
      <c r="F64" t="s">
        <v>1344</v>
      </c>
      <c r="G64" s="1">
        <v>-0.17979999999999999</v>
      </c>
    </row>
    <row r="65" spans="1:7" x14ac:dyDescent="0.5">
      <c r="A65" t="s">
        <v>102</v>
      </c>
      <c r="B65">
        <v>538.36</v>
      </c>
      <c r="C65">
        <v>570.63</v>
      </c>
      <c r="D65">
        <v>589.99</v>
      </c>
      <c r="E65">
        <v>526.84</v>
      </c>
      <c r="F65" t="s">
        <v>1345</v>
      </c>
      <c r="G65" s="1">
        <v>-5.6500000000000002E-2</v>
      </c>
    </row>
    <row r="66" spans="1:7" x14ac:dyDescent="0.5">
      <c r="A66" t="s">
        <v>104</v>
      </c>
      <c r="B66">
        <v>570.63</v>
      </c>
      <c r="C66">
        <v>571.09</v>
      </c>
      <c r="D66">
        <v>576.16</v>
      </c>
      <c r="E66">
        <v>522.23</v>
      </c>
      <c r="F66" t="s">
        <v>1346</v>
      </c>
      <c r="G66" s="1">
        <v>-6.4000000000000003E-3</v>
      </c>
    </row>
    <row r="67" spans="1:7" x14ac:dyDescent="0.5">
      <c r="A67" t="s">
        <v>106</v>
      </c>
      <c r="B67">
        <v>574.32000000000005</v>
      </c>
      <c r="C67">
        <v>578.46</v>
      </c>
      <c r="D67">
        <v>606.58000000000004</v>
      </c>
      <c r="E67">
        <v>555.88</v>
      </c>
      <c r="F67" t="s">
        <v>1347</v>
      </c>
      <c r="G67" s="1">
        <v>2.1299999999999999E-2</v>
      </c>
    </row>
    <row r="68" spans="1:7" x14ac:dyDescent="0.5">
      <c r="A68" t="s">
        <v>108</v>
      </c>
      <c r="B68">
        <v>562.33000000000004</v>
      </c>
      <c r="C68">
        <v>637.91999999999996</v>
      </c>
      <c r="D68">
        <v>666.5</v>
      </c>
      <c r="E68">
        <v>542.51</v>
      </c>
      <c r="F68" t="s">
        <v>1348</v>
      </c>
      <c r="G68" s="1">
        <v>-7.9200000000000007E-2</v>
      </c>
    </row>
    <row r="69" spans="1:7" x14ac:dyDescent="0.5">
      <c r="A69" t="s">
        <v>110</v>
      </c>
      <c r="B69">
        <v>610.73</v>
      </c>
      <c r="C69">
        <v>643.46</v>
      </c>
      <c r="D69">
        <v>714.9</v>
      </c>
      <c r="E69">
        <v>610.73</v>
      </c>
      <c r="F69" t="s">
        <v>1349</v>
      </c>
      <c r="G69" s="1">
        <v>-2.7900000000000001E-2</v>
      </c>
    </row>
    <row r="70" spans="1:7" x14ac:dyDescent="0.5">
      <c r="A70" t="s">
        <v>112</v>
      </c>
      <c r="B70">
        <v>628.24</v>
      </c>
      <c r="C70">
        <v>514.4</v>
      </c>
      <c r="D70">
        <v>707.52</v>
      </c>
      <c r="E70">
        <v>513.92999999999995</v>
      </c>
      <c r="F70" t="s">
        <v>1350</v>
      </c>
      <c r="G70" s="1">
        <v>0.20830000000000001</v>
      </c>
    </row>
    <row r="71" spans="1:7" x14ac:dyDescent="0.5">
      <c r="A71" t="s">
        <v>114</v>
      </c>
      <c r="B71">
        <v>519.92999999999995</v>
      </c>
      <c r="C71">
        <v>528.22</v>
      </c>
      <c r="D71">
        <v>546.66</v>
      </c>
      <c r="E71">
        <v>478.44</v>
      </c>
      <c r="F71" t="s">
        <v>1351</v>
      </c>
      <c r="G71" s="1">
        <v>1.8E-3</v>
      </c>
    </row>
    <row r="72" spans="1:7" x14ac:dyDescent="0.5">
      <c r="A72" t="s">
        <v>116</v>
      </c>
      <c r="B72">
        <v>519.01</v>
      </c>
      <c r="C72">
        <v>546.66</v>
      </c>
      <c r="D72">
        <v>583.53</v>
      </c>
      <c r="E72">
        <v>507.94</v>
      </c>
      <c r="F72" t="s">
        <v>1352</v>
      </c>
      <c r="G72" s="1">
        <v>-4.7399999999999998E-2</v>
      </c>
    </row>
    <row r="73" spans="1:7" x14ac:dyDescent="0.5">
      <c r="A73" t="s">
        <v>118</v>
      </c>
      <c r="B73">
        <v>544.82000000000005</v>
      </c>
      <c r="C73">
        <v>488.58</v>
      </c>
      <c r="D73">
        <v>566.02</v>
      </c>
      <c r="E73">
        <v>480.75</v>
      </c>
      <c r="F73" t="s">
        <v>1353</v>
      </c>
      <c r="G73" s="1">
        <v>0.15540000000000001</v>
      </c>
    </row>
    <row r="74" spans="1:7" x14ac:dyDescent="0.5">
      <c r="A74" t="s">
        <v>120</v>
      </c>
      <c r="B74">
        <v>471.53</v>
      </c>
      <c r="C74">
        <v>495.5</v>
      </c>
      <c r="D74">
        <v>511.63</v>
      </c>
      <c r="E74">
        <v>462.31</v>
      </c>
      <c r="F74" t="s">
        <v>1354</v>
      </c>
      <c r="G74" s="1">
        <v>-3.5799999999999998E-2</v>
      </c>
    </row>
    <row r="75" spans="1:7" x14ac:dyDescent="0.5">
      <c r="A75" t="s">
        <v>122</v>
      </c>
      <c r="B75">
        <v>489.04</v>
      </c>
      <c r="C75">
        <v>494.11</v>
      </c>
      <c r="D75">
        <v>519.92999999999995</v>
      </c>
      <c r="E75">
        <v>460.38</v>
      </c>
      <c r="F75" t="s">
        <v>1355</v>
      </c>
      <c r="G75" s="1">
        <v>-6.6E-3</v>
      </c>
    </row>
    <row r="76" spans="1:7" x14ac:dyDescent="0.5">
      <c r="A76" t="s">
        <v>124</v>
      </c>
      <c r="B76">
        <v>492.27</v>
      </c>
      <c r="C76">
        <v>463.69</v>
      </c>
      <c r="D76">
        <v>519.92999999999995</v>
      </c>
      <c r="E76">
        <v>463.69</v>
      </c>
      <c r="F76" t="s">
        <v>1356</v>
      </c>
      <c r="G76" s="1">
        <v>7.0999999999999994E-2</v>
      </c>
    </row>
    <row r="77" spans="1:7" x14ac:dyDescent="0.5">
      <c r="A77" t="s">
        <v>126</v>
      </c>
      <c r="B77">
        <v>459.64</v>
      </c>
      <c r="C77">
        <v>386.63</v>
      </c>
      <c r="D77">
        <v>465.54</v>
      </c>
      <c r="E77">
        <v>386.44</v>
      </c>
      <c r="F77" t="s">
        <v>1357</v>
      </c>
      <c r="G77" s="1">
        <v>0.21490000000000001</v>
      </c>
    </row>
    <row r="78" spans="1:7" x14ac:dyDescent="0.5">
      <c r="A78" t="s">
        <v>128</v>
      </c>
      <c r="B78">
        <v>378.33</v>
      </c>
      <c r="C78">
        <v>376.86</v>
      </c>
      <c r="D78">
        <v>412.07</v>
      </c>
      <c r="E78">
        <v>368.74</v>
      </c>
      <c r="F78" t="s">
        <v>1358</v>
      </c>
      <c r="G78" s="1">
        <v>-1.5800000000000002E-2</v>
      </c>
    </row>
    <row r="79" spans="1:7" x14ac:dyDescent="0.5">
      <c r="A79" t="s">
        <v>130</v>
      </c>
      <c r="B79">
        <v>384.41</v>
      </c>
      <c r="C79">
        <v>353.62</v>
      </c>
      <c r="D79">
        <v>386.81</v>
      </c>
      <c r="E79">
        <v>340.72</v>
      </c>
      <c r="F79" t="s">
        <v>1359</v>
      </c>
      <c r="G79" s="1">
        <v>9.6799999999999997E-2</v>
      </c>
    </row>
    <row r="80" spans="1:7" x14ac:dyDescent="0.5">
      <c r="A80" t="s">
        <v>132</v>
      </c>
      <c r="B80">
        <v>350.49</v>
      </c>
      <c r="C80">
        <v>354.55</v>
      </c>
      <c r="D80">
        <v>375.01</v>
      </c>
      <c r="E80">
        <v>299.79000000000002</v>
      </c>
      <c r="F80" t="s">
        <v>1360</v>
      </c>
      <c r="G80" s="1">
        <v>-1.4999999999999999E-2</v>
      </c>
    </row>
    <row r="81" spans="1:7" x14ac:dyDescent="0.5">
      <c r="A81" t="s">
        <v>134</v>
      </c>
      <c r="B81">
        <v>355.84</v>
      </c>
      <c r="C81">
        <v>348.46</v>
      </c>
      <c r="D81">
        <v>387.18</v>
      </c>
      <c r="E81">
        <v>340.72</v>
      </c>
      <c r="F81" t="s">
        <v>1361</v>
      </c>
      <c r="G81" s="1">
        <v>3.49E-2</v>
      </c>
    </row>
    <row r="82" spans="1:7" x14ac:dyDescent="0.5">
      <c r="A82" t="s">
        <v>136</v>
      </c>
      <c r="B82">
        <v>343.85</v>
      </c>
      <c r="C82">
        <v>346.43</v>
      </c>
      <c r="D82">
        <v>380.73</v>
      </c>
      <c r="E82">
        <v>341.27</v>
      </c>
      <c r="F82" t="s">
        <v>1362</v>
      </c>
      <c r="G82" s="1">
        <v>-6.8999999999999999E-3</v>
      </c>
    </row>
    <row r="83" spans="1:7" x14ac:dyDescent="0.5">
      <c r="A83" t="s">
        <v>138</v>
      </c>
      <c r="B83">
        <v>346.25</v>
      </c>
      <c r="C83">
        <v>308.82</v>
      </c>
      <c r="D83">
        <v>355.28</v>
      </c>
      <c r="E83">
        <v>299.97000000000003</v>
      </c>
      <c r="F83" t="s">
        <v>1363</v>
      </c>
      <c r="G83" s="1">
        <v>0.13200000000000001</v>
      </c>
    </row>
    <row r="84" spans="1:7" x14ac:dyDescent="0.5">
      <c r="A84" t="s">
        <v>140</v>
      </c>
      <c r="B84">
        <v>305.87</v>
      </c>
      <c r="C84">
        <v>294.63</v>
      </c>
      <c r="D84">
        <v>315.27</v>
      </c>
      <c r="E84">
        <v>293.14999999999998</v>
      </c>
      <c r="F84" t="s">
        <v>1364</v>
      </c>
      <c r="G84" s="1">
        <v>3.4299999999999997E-2</v>
      </c>
    </row>
    <row r="85" spans="1:7" x14ac:dyDescent="0.5">
      <c r="A85" t="s">
        <v>142</v>
      </c>
      <c r="B85">
        <v>295.73</v>
      </c>
      <c r="C85">
        <v>297.94</v>
      </c>
      <c r="D85">
        <v>308.08</v>
      </c>
      <c r="E85">
        <v>290.02</v>
      </c>
      <c r="F85" t="s">
        <v>1365</v>
      </c>
      <c r="G85" s="1">
        <v>-2.8500000000000001E-2</v>
      </c>
    </row>
    <row r="86" spans="1:7" x14ac:dyDescent="0.5">
      <c r="A86" t="s">
        <v>144</v>
      </c>
      <c r="B86">
        <v>304.39999999999998</v>
      </c>
      <c r="C86">
        <v>302</v>
      </c>
      <c r="D86">
        <v>323.57</v>
      </c>
      <c r="E86">
        <v>298.13</v>
      </c>
      <c r="F86" t="s">
        <v>1366</v>
      </c>
      <c r="G86" s="1">
        <v>1.66E-2</v>
      </c>
    </row>
    <row r="87" spans="1:7" x14ac:dyDescent="0.5">
      <c r="A87" t="s">
        <v>146</v>
      </c>
      <c r="B87">
        <v>299.42</v>
      </c>
      <c r="C87">
        <v>343.3</v>
      </c>
      <c r="D87">
        <v>344.59</v>
      </c>
      <c r="E87">
        <v>287.8</v>
      </c>
      <c r="F87" t="s">
        <v>1367</v>
      </c>
      <c r="G87" s="1">
        <v>-0.1179</v>
      </c>
    </row>
    <row r="88" spans="1:7" x14ac:dyDescent="0.5">
      <c r="A88" t="s">
        <v>148</v>
      </c>
      <c r="B88">
        <v>339.43</v>
      </c>
      <c r="C88">
        <v>339.06</v>
      </c>
      <c r="D88">
        <v>348.28</v>
      </c>
      <c r="E88">
        <v>319.88</v>
      </c>
      <c r="F88" t="s">
        <v>1368</v>
      </c>
      <c r="G88" s="1">
        <v>4.4200000000000003E-2</v>
      </c>
    </row>
    <row r="89" spans="1:7" x14ac:dyDescent="0.5">
      <c r="A89" t="s">
        <v>150</v>
      </c>
      <c r="B89">
        <v>325.05</v>
      </c>
      <c r="C89">
        <v>304.02999999999997</v>
      </c>
      <c r="D89">
        <v>329.47</v>
      </c>
      <c r="E89">
        <v>300.52</v>
      </c>
      <c r="F89" t="s">
        <v>1369</v>
      </c>
      <c r="G89" s="1">
        <v>8.1600000000000006E-2</v>
      </c>
    </row>
    <row r="90" spans="1:7" x14ac:dyDescent="0.5">
      <c r="A90" t="s">
        <v>152</v>
      </c>
      <c r="B90">
        <v>300.52</v>
      </c>
      <c r="C90">
        <v>359.52</v>
      </c>
      <c r="D90">
        <v>364.13</v>
      </c>
      <c r="E90">
        <v>292.04000000000002</v>
      </c>
      <c r="F90" t="s">
        <v>1370</v>
      </c>
      <c r="G90" s="1">
        <v>-0.1598</v>
      </c>
    </row>
    <row r="91" spans="1:7" x14ac:dyDescent="0.5">
      <c r="A91" t="s">
        <v>154</v>
      </c>
      <c r="B91">
        <v>357.68</v>
      </c>
      <c r="C91">
        <v>339.06</v>
      </c>
      <c r="D91">
        <v>369.11</v>
      </c>
      <c r="E91">
        <v>336.29</v>
      </c>
      <c r="F91" t="s">
        <v>1371</v>
      </c>
      <c r="G91" s="1">
        <v>7.4800000000000005E-2</v>
      </c>
    </row>
    <row r="92" spans="1:7" x14ac:dyDescent="0.5">
      <c r="A92" t="s">
        <v>156</v>
      </c>
      <c r="B92">
        <v>332.79</v>
      </c>
      <c r="C92">
        <v>311.02999999999997</v>
      </c>
      <c r="D92">
        <v>342.19</v>
      </c>
      <c r="E92">
        <v>307.35000000000002</v>
      </c>
      <c r="F92" t="s">
        <v>1372</v>
      </c>
      <c r="G92" s="1">
        <v>7.4999999999999997E-2</v>
      </c>
    </row>
    <row r="93" spans="1:7" x14ac:dyDescent="0.5">
      <c r="A93" t="s">
        <v>158</v>
      </c>
      <c r="B93">
        <v>309.56</v>
      </c>
      <c r="C93">
        <v>324.49</v>
      </c>
      <c r="D93">
        <v>325.42</v>
      </c>
      <c r="E93">
        <v>305.32</v>
      </c>
      <c r="F93" t="s">
        <v>1373</v>
      </c>
      <c r="G93" s="1">
        <v>-2.9499999999999998E-2</v>
      </c>
    </row>
    <row r="94" spans="1:7" x14ac:dyDescent="0.5">
      <c r="A94" t="s">
        <v>160</v>
      </c>
      <c r="B94">
        <v>318.95999999999998</v>
      </c>
      <c r="C94">
        <v>290.38</v>
      </c>
      <c r="D94">
        <v>323.57</v>
      </c>
      <c r="E94">
        <v>276.92</v>
      </c>
      <c r="F94" t="s">
        <v>1374</v>
      </c>
      <c r="G94" s="1">
        <v>0.1019</v>
      </c>
    </row>
    <row r="95" spans="1:7" x14ac:dyDescent="0.5">
      <c r="A95" t="s">
        <v>162</v>
      </c>
      <c r="B95">
        <v>289.45999999999998</v>
      </c>
      <c r="C95">
        <v>302.33999999999997</v>
      </c>
      <c r="D95">
        <v>302.70999999999998</v>
      </c>
      <c r="E95">
        <v>273.77</v>
      </c>
      <c r="F95" t="s">
        <v>1375</v>
      </c>
      <c r="G95" s="1">
        <v>6.4999999999999997E-3</v>
      </c>
    </row>
    <row r="96" spans="1:7" x14ac:dyDescent="0.5">
      <c r="A96" t="s">
        <v>164</v>
      </c>
      <c r="B96">
        <v>287.60000000000002</v>
      </c>
      <c r="C96">
        <v>253.49</v>
      </c>
      <c r="D96">
        <v>295.70999999999998</v>
      </c>
      <c r="E96">
        <v>239.66</v>
      </c>
      <c r="F96" t="s">
        <v>1376</v>
      </c>
      <c r="G96" s="1">
        <v>0.16850000000000001</v>
      </c>
    </row>
    <row r="97" spans="1:7" x14ac:dyDescent="0.5">
      <c r="A97" t="s">
        <v>166</v>
      </c>
      <c r="B97">
        <v>246.12</v>
      </c>
      <c r="C97">
        <v>299.58</v>
      </c>
      <c r="D97">
        <v>299.58</v>
      </c>
      <c r="E97">
        <v>231.74</v>
      </c>
      <c r="F97" t="s">
        <v>1377</v>
      </c>
      <c r="G97" s="1">
        <v>-0.1739</v>
      </c>
    </row>
    <row r="98" spans="1:7" x14ac:dyDescent="0.5">
      <c r="A98" t="s">
        <v>168</v>
      </c>
      <c r="B98">
        <v>297.92</v>
      </c>
      <c r="C98">
        <v>307.32</v>
      </c>
      <c r="D98">
        <v>314.33</v>
      </c>
      <c r="E98">
        <v>281.33</v>
      </c>
      <c r="F98" t="s">
        <v>1378</v>
      </c>
      <c r="G98" s="1">
        <v>-4.9399999999999999E-2</v>
      </c>
    </row>
    <row r="99" spans="1:7" x14ac:dyDescent="0.5">
      <c r="A99" t="s">
        <v>170</v>
      </c>
      <c r="B99">
        <v>313.39999999999998</v>
      </c>
      <c r="C99">
        <v>332.58</v>
      </c>
      <c r="D99">
        <v>346.22</v>
      </c>
      <c r="E99">
        <v>294.05</v>
      </c>
      <c r="F99" t="s">
        <v>1379</v>
      </c>
      <c r="G99" s="1">
        <v>-4.2799999999999998E-2</v>
      </c>
    </row>
    <row r="100" spans="1:7" x14ac:dyDescent="0.5">
      <c r="A100" t="s">
        <v>172</v>
      </c>
      <c r="B100">
        <v>327.42</v>
      </c>
      <c r="C100">
        <v>364.1</v>
      </c>
      <c r="D100">
        <v>366.87</v>
      </c>
      <c r="E100">
        <v>325.76</v>
      </c>
      <c r="F100" t="s">
        <v>1380</v>
      </c>
      <c r="G100" s="1">
        <v>-9.8000000000000004E-2</v>
      </c>
    </row>
    <row r="101" spans="1:7" x14ac:dyDescent="0.5">
      <c r="A101" t="s">
        <v>174</v>
      </c>
      <c r="B101">
        <v>363</v>
      </c>
      <c r="C101">
        <v>370.19</v>
      </c>
      <c r="D101">
        <v>397.84</v>
      </c>
      <c r="E101">
        <v>344.19</v>
      </c>
      <c r="F101" t="s">
        <v>1381</v>
      </c>
      <c r="G101" s="1">
        <v>-1.35E-2</v>
      </c>
    </row>
    <row r="102" spans="1:7" x14ac:dyDescent="0.5">
      <c r="A102" t="s">
        <v>176</v>
      </c>
      <c r="B102">
        <v>367.98</v>
      </c>
      <c r="C102">
        <v>360.42</v>
      </c>
      <c r="D102">
        <v>391.02</v>
      </c>
      <c r="E102">
        <v>346.04</v>
      </c>
      <c r="F102" t="s">
        <v>1382</v>
      </c>
      <c r="G102" s="1">
        <v>2.1000000000000001E-2</v>
      </c>
    </row>
    <row r="103" spans="1:7" x14ac:dyDescent="0.5">
      <c r="A103" t="s">
        <v>178</v>
      </c>
      <c r="B103">
        <v>360.42</v>
      </c>
      <c r="C103">
        <v>372.95</v>
      </c>
      <c r="D103">
        <v>392.31</v>
      </c>
      <c r="E103">
        <v>347.7</v>
      </c>
      <c r="F103" t="s">
        <v>1383</v>
      </c>
      <c r="G103" s="1">
        <v>-4.5400000000000003E-2</v>
      </c>
    </row>
    <row r="104" spans="1:7" x14ac:dyDescent="0.5">
      <c r="A104" t="s">
        <v>180</v>
      </c>
      <c r="B104">
        <v>377.56</v>
      </c>
      <c r="C104">
        <v>396.37</v>
      </c>
      <c r="D104">
        <v>438.4</v>
      </c>
      <c r="E104">
        <v>373.32</v>
      </c>
      <c r="F104" t="s">
        <v>1384</v>
      </c>
      <c r="G104" s="1">
        <v>-5.2299999999999999E-2</v>
      </c>
    </row>
    <row r="105" spans="1:7" x14ac:dyDescent="0.5">
      <c r="A105" t="s">
        <v>182</v>
      </c>
      <c r="B105">
        <v>398.39</v>
      </c>
      <c r="C105">
        <v>429.55</v>
      </c>
      <c r="D105">
        <v>430.29</v>
      </c>
      <c r="E105">
        <v>366.87</v>
      </c>
      <c r="F105" t="s">
        <v>1385</v>
      </c>
      <c r="G105" s="1">
        <v>-6.7699999999999996E-2</v>
      </c>
    </row>
    <row r="106" spans="1:7" x14ac:dyDescent="0.5">
      <c r="A106" t="s">
        <v>184</v>
      </c>
      <c r="B106">
        <v>427.34</v>
      </c>
      <c r="C106">
        <v>376.09</v>
      </c>
      <c r="D106">
        <v>439.32</v>
      </c>
      <c r="E106">
        <v>375.72</v>
      </c>
      <c r="F106" t="s">
        <v>1386</v>
      </c>
      <c r="G106" s="1">
        <v>0.1419</v>
      </c>
    </row>
    <row r="107" spans="1:7" x14ac:dyDescent="0.5">
      <c r="A107" t="s">
        <v>186</v>
      </c>
      <c r="B107">
        <v>374.24</v>
      </c>
      <c r="C107">
        <v>366.87</v>
      </c>
      <c r="D107">
        <v>378.67</v>
      </c>
      <c r="E107">
        <v>336.63</v>
      </c>
      <c r="F107" t="s">
        <v>1387</v>
      </c>
      <c r="G107" s="1">
        <v>2.01E-2</v>
      </c>
    </row>
    <row r="108" spans="1:7" x14ac:dyDescent="0.5">
      <c r="A108" t="s">
        <v>188</v>
      </c>
      <c r="B108">
        <v>366.87</v>
      </c>
      <c r="C108">
        <v>324.47000000000003</v>
      </c>
      <c r="D108">
        <v>405.21</v>
      </c>
      <c r="E108">
        <v>324.10000000000002</v>
      </c>
      <c r="F108" t="s">
        <v>1388</v>
      </c>
      <c r="G108" s="1">
        <v>0.13780000000000001</v>
      </c>
    </row>
    <row r="109" spans="1:7" x14ac:dyDescent="0.5">
      <c r="A109" t="s">
        <v>190</v>
      </c>
      <c r="B109">
        <v>322.44</v>
      </c>
      <c r="C109">
        <v>318.54000000000002</v>
      </c>
      <c r="D109">
        <v>328.52</v>
      </c>
      <c r="E109">
        <v>314.86</v>
      </c>
      <c r="F109" t="s">
        <v>1389</v>
      </c>
      <c r="G109" s="1">
        <v>4.0500000000000001E-2</v>
      </c>
    </row>
    <row r="110" spans="1:7" x14ac:dyDescent="0.5">
      <c r="A110" t="s">
        <v>192</v>
      </c>
      <c r="B110">
        <v>309.88</v>
      </c>
      <c r="C110">
        <v>305.82</v>
      </c>
      <c r="D110">
        <v>322.23</v>
      </c>
      <c r="E110">
        <v>294.20999999999998</v>
      </c>
      <c r="F110" t="s">
        <v>1390</v>
      </c>
      <c r="G110" s="1">
        <v>2.1899999999999999E-2</v>
      </c>
    </row>
    <row r="111" spans="1:7" x14ac:dyDescent="0.5">
      <c r="A111" t="s">
        <v>194</v>
      </c>
      <c r="B111">
        <v>303.24</v>
      </c>
      <c r="C111">
        <v>284.81</v>
      </c>
      <c r="D111">
        <v>314.3</v>
      </c>
      <c r="E111">
        <v>283.89</v>
      </c>
      <c r="F111" t="s">
        <v>1391</v>
      </c>
      <c r="G111" s="1">
        <v>4.9799999999999997E-2</v>
      </c>
    </row>
    <row r="112" spans="1:7" x14ac:dyDescent="0.5">
      <c r="A112" t="s">
        <v>196</v>
      </c>
      <c r="B112">
        <v>288.86</v>
      </c>
      <c r="C112">
        <v>256.60000000000002</v>
      </c>
      <c r="D112">
        <v>289.79000000000002</v>
      </c>
      <c r="E112">
        <v>240.01</v>
      </c>
      <c r="F112" t="s">
        <v>1392</v>
      </c>
      <c r="G112" s="1">
        <v>0.1225</v>
      </c>
    </row>
    <row r="113" spans="1:7" x14ac:dyDescent="0.5">
      <c r="A113" t="s">
        <v>198</v>
      </c>
      <c r="B113">
        <v>257.33999999999997</v>
      </c>
      <c r="C113">
        <v>246.1</v>
      </c>
      <c r="D113">
        <v>265.82</v>
      </c>
      <c r="E113">
        <v>242.23</v>
      </c>
      <c r="F113" t="s">
        <v>1393</v>
      </c>
      <c r="G113" s="1">
        <v>4.3299999999999998E-2</v>
      </c>
    </row>
    <row r="114" spans="1:7" x14ac:dyDescent="0.5">
      <c r="A114" t="s">
        <v>200</v>
      </c>
      <c r="B114">
        <v>246.65</v>
      </c>
      <c r="C114">
        <v>225.82</v>
      </c>
      <c r="D114">
        <v>258.63</v>
      </c>
      <c r="E114">
        <v>222.87</v>
      </c>
      <c r="F114" t="s">
        <v>1394</v>
      </c>
      <c r="G114" s="1">
        <v>9.9400000000000002E-2</v>
      </c>
    </row>
    <row r="115" spans="1:7" x14ac:dyDescent="0.5">
      <c r="A115" t="s">
        <v>202</v>
      </c>
      <c r="B115">
        <v>224.34</v>
      </c>
      <c r="C115">
        <v>208.31</v>
      </c>
      <c r="D115">
        <v>225.82</v>
      </c>
      <c r="E115">
        <v>204.99</v>
      </c>
      <c r="F115" t="s">
        <v>1395</v>
      </c>
      <c r="G115" s="1">
        <v>9.2499999999999999E-2</v>
      </c>
    </row>
    <row r="116" spans="1:7" x14ac:dyDescent="0.5">
      <c r="A116" t="s">
        <v>204</v>
      </c>
      <c r="B116">
        <v>205.36</v>
      </c>
      <c r="C116">
        <v>190.79</v>
      </c>
      <c r="D116">
        <v>212.18</v>
      </c>
      <c r="E116">
        <v>188.21</v>
      </c>
      <c r="F116" t="s">
        <v>1396</v>
      </c>
      <c r="G116" s="1">
        <v>7.6300000000000007E-2</v>
      </c>
    </row>
    <row r="117" spans="1:7" x14ac:dyDescent="0.5">
      <c r="A117" t="s">
        <v>206</v>
      </c>
      <c r="B117">
        <v>190.79</v>
      </c>
      <c r="C117">
        <v>186.18</v>
      </c>
      <c r="D117">
        <v>199.46</v>
      </c>
      <c r="E117">
        <v>185.08</v>
      </c>
      <c r="F117" t="s">
        <v>1397</v>
      </c>
      <c r="G117" s="1">
        <v>1.2699999999999999E-2</v>
      </c>
    </row>
    <row r="118" spans="1:7" x14ac:dyDescent="0.5">
      <c r="A118" t="s">
        <v>208</v>
      </c>
      <c r="B118">
        <v>188.4</v>
      </c>
      <c r="C118">
        <v>173.28</v>
      </c>
      <c r="D118">
        <v>189.5</v>
      </c>
      <c r="E118">
        <v>173.28</v>
      </c>
      <c r="F118" t="s">
        <v>1398</v>
      </c>
      <c r="G118" s="1">
        <v>7.7499999999999999E-2</v>
      </c>
    </row>
    <row r="119" spans="1:7" x14ac:dyDescent="0.5">
      <c r="A119" t="s">
        <v>210</v>
      </c>
      <c r="B119">
        <v>174.85</v>
      </c>
      <c r="C119">
        <v>179.73</v>
      </c>
      <c r="D119">
        <v>180.1</v>
      </c>
      <c r="E119">
        <v>165.54</v>
      </c>
      <c r="F119" t="s">
        <v>1399</v>
      </c>
      <c r="G119" s="1">
        <v>-2.07E-2</v>
      </c>
    </row>
    <row r="120" spans="1:7" x14ac:dyDescent="0.5">
      <c r="A120" t="s">
        <v>212</v>
      </c>
      <c r="B120">
        <v>178.54</v>
      </c>
      <c r="C120">
        <v>191.53</v>
      </c>
      <c r="D120">
        <v>193.19</v>
      </c>
      <c r="E120">
        <v>174.85</v>
      </c>
      <c r="F120" t="s">
        <v>1400</v>
      </c>
      <c r="G120" s="1">
        <v>-5.8799999999999998E-2</v>
      </c>
    </row>
    <row r="121" spans="1:7" x14ac:dyDescent="0.5">
      <c r="A121" t="s">
        <v>214</v>
      </c>
      <c r="B121">
        <v>189.69</v>
      </c>
      <c r="C121">
        <v>199.46</v>
      </c>
      <c r="D121">
        <v>201.12</v>
      </c>
      <c r="E121">
        <v>189.13</v>
      </c>
      <c r="F121" t="s">
        <v>1401</v>
      </c>
      <c r="G121" s="1">
        <v>-3.3799999999999997E-2</v>
      </c>
    </row>
    <row r="122" spans="1:7" x14ac:dyDescent="0.5">
      <c r="A122" t="s">
        <v>216</v>
      </c>
      <c r="B122">
        <v>196.32</v>
      </c>
      <c r="C122">
        <v>185.26</v>
      </c>
      <c r="D122">
        <v>203.51</v>
      </c>
      <c r="E122">
        <v>185.08</v>
      </c>
      <c r="F122" t="s">
        <v>1402</v>
      </c>
      <c r="G122" s="1">
        <v>5.5500000000000001E-2</v>
      </c>
    </row>
    <row r="123" spans="1:7" x14ac:dyDescent="0.5">
      <c r="A123" t="s">
        <v>218</v>
      </c>
      <c r="B123">
        <v>186</v>
      </c>
      <c r="C123">
        <v>172.36</v>
      </c>
      <c r="D123">
        <v>189.32</v>
      </c>
      <c r="E123">
        <v>167.29</v>
      </c>
      <c r="F123" t="s">
        <v>1403</v>
      </c>
      <c r="G123" s="1">
        <v>8.2000000000000003E-2</v>
      </c>
    </row>
    <row r="124" spans="1:7" x14ac:dyDescent="0.5">
      <c r="A124" t="s">
        <v>220</v>
      </c>
      <c r="B124">
        <v>171.9</v>
      </c>
      <c r="C124">
        <v>164.16</v>
      </c>
      <c r="D124">
        <v>174.94</v>
      </c>
      <c r="E124">
        <v>159.46</v>
      </c>
      <c r="F124" t="s">
        <v>1404</v>
      </c>
      <c r="G124" s="1">
        <v>5.91E-2</v>
      </c>
    </row>
    <row r="125" spans="1:7" x14ac:dyDescent="0.5">
      <c r="A125" t="s">
        <v>222</v>
      </c>
      <c r="B125">
        <v>162.31</v>
      </c>
      <c r="C125">
        <v>158.53</v>
      </c>
      <c r="D125">
        <v>164.52</v>
      </c>
      <c r="E125">
        <v>153.93</v>
      </c>
      <c r="F125" t="s">
        <v>1405</v>
      </c>
      <c r="G125" s="1">
        <v>1.6199999999999999E-2</v>
      </c>
    </row>
    <row r="126" spans="1:7" x14ac:dyDescent="0.5">
      <c r="A126" t="s">
        <v>224</v>
      </c>
      <c r="B126">
        <v>159.72999999999999</v>
      </c>
      <c r="C126">
        <v>146.46</v>
      </c>
      <c r="D126">
        <v>160.1</v>
      </c>
      <c r="E126">
        <v>140.28</v>
      </c>
      <c r="F126" t="s">
        <v>1406</v>
      </c>
      <c r="G126" s="1">
        <v>9.06E-2</v>
      </c>
    </row>
    <row r="127" spans="1:7" x14ac:dyDescent="0.5">
      <c r="A127" t="s">
        <v>226</v>
      </c>
      <c r="B127">
        <v>146.46</v>
      </c>
      <c r="C127">
        <v>147.1</v>
      </c>
      <c r="D127">
        <v>154.11000000000001</v>
      </c>
      <c r="E127">
        <v>142.31</v>
      </c>
      <c r="F127" t="s">
        <v>1407</v>
      </c>
      <c r="G127" s="1">
        <v>3.2000000000000002E-3</v>
      </c>
    </row>
    <row r="128" spans="1:7" x14ac:dyDescent="0.5">
      <c r="A128" t="s">
        <v>228</v>
      </c>
      <c r="B128">
        <v>146</v>
      </c>
      <c r="C128">
        <v>130.88</v>
      </c>
      <c r="D128">
        <v>147.38</v>
      </c>
      <c r="E128">
        <v>130.41999999999999</v>
      </c>
      <c r="F128" t="s">
        <v>1408</v>
      </c>
      <c r="G128" s="1">
        <v>0.1163</v>
      </c>
    </row>
    <row r="129" spans="1:7" x14ac:dyDescent="0.5">
      <c r="A129" t="s">
        <v>230</v>
      </c>
      <c r="B129">
        <v>130.79</v>
      </c>
      <c r="C129">
        <v>134.85</v>
      </c>
      <c r="D129">
        <v>136.13999999999999</v>
      </c>
      <c r="E129">
        <v>121.76</v>
      </c>
      <c r="F129" t="s">
        <v>1409</v>
      </c>
      <c r="G129" s="1">
        <v>-2.07E-2</v>
      </c>
    </row>
    <row r="130" spans="1:7" x14ac:dyDescent="0.5">
      <c r="A130" t="s">
        <v>232</v>
      </c>
      <c r="B130">
        <v>133.55000000000001</v>
      </c>
      <c r="C130">
        <v>139.55000000000001</v>
      </c>
      <c r="D130">
        <v>140.1</v>
      </c>
      <c r="E130">
        <v>122.68</v>
      </c>
      <c r="F130" t="s">
        <v>1410</v>
      </c>
      <c r="G130" s="1">
        <v>-4.9799999999999997E-2</v>
      </c>
    </row>
    <row r="131" spans="1:7" x14ac:dyDescent="0.5">
      <c r="A131" t="s">
        <v>234</v>
      </c>
      <c r="B131">
        <v>140.56</v>
      </c>
      <c r="C131">
        <v>144.15</v>
      </c>
      <c r="D131">
        <v>145.16999999999999</v>
      </c>
      <c r="E131">
        <v>131.80000000000001</v>
      </c>
      <c r="F131" t="s">
        <v>1411</v>
      </c>
      <c r="G131" s="1">
        <v>-1.17E-2</v>
      </c>
    </row>
    <row r="132" spans="1:7" x14ac:dyDescent="0.5">
      <c r="A132" t="s">
        <v>236</v>
      </c>
      <c r="B132">
        <v>142.22</v>
      </c>
      <c r="C132">
        <v>137.15</v>
      </c>
      <c r="D132">
        <v>145.91</v>
      </c>
      <c r="E132">
        <v>134.75</v>
      </c>
      <c r="F132" t="s">
        <v>1412</v>
      </c>
      <c r="G132" s="1">
        <v>5.2499999999999998E-2</v>
      </c>
    </row>
    <row r="133" spans="1:7" x14ac:dyDescent="0.5">
      <c r="A133" t="s">
        <v>238</v>
      </c>
      <c r="B133">
        <v>135.12</v>
      </c>
      <c r="C133">
        <v>121.48</v>
      </c>
      <c r="D133">
        <v>140.1</v>
      </c>
      <c r="E133">
        <v>120.84</v>
      </c>
      <c r="F133" t="s">
        <v>1413</v>
      </c>
      <c r="G133" s="1">
        <v>0.1338</v>
      </c>
    </row>
    <row r="134" spans="1:7" x14ac:dyDescent="0.5">
      <c r="A134" t="s">
        <v>240</v>
      </c>
      <c r="B134">
        <v>119.18</v>
      </c>
      <c r="C134">
        <v>121.39</v>
      </c>
      <c r="D134">
        <v>126.92</v>
      </c>
      <c r="E134">
        <v>115.31</v>
      </c>
      <c r="F134" t="s">
        <v>1414</v>
      </c>
      <c r="G134" s="1">
        <v>-1.9E-2</v>
      </c>
    </row>
    <row r="135" spans="1:7" x14ac:dyDescent="0.5">
      <c r="A135" t="s">
        <v>242</v>
      </c>
      <c r="B135">
        <v>121.48</v>
      </c>
      <c r="C135">
        <v>132.72999999999999</v>
      </c>
      <c r="D135">
        <v>134.47999999999999</v>
      </c>
      <c r="E135">
        <v>114.29</v>
      </c>
      <c r="F135" t="s">
        <v>1415</v>
      </c>
      <c r="G135" s="1">
        <v>-8.9099999999999999E-2</v>
      </c>
    </row>
    <row r="136" spans="1:7" x14ac:dyDescent="0.5">
      <c r="A136" t="s">
        <v>244</v>
      </c>
      <c r="B136">
        <v>133.37</v>
      </c>
      <c r="C136">
        <v>142.87</v>
      </c>
      <c r="D136">
        <v>145.54</v>
      </c>
      <c r="E136">
        <v>121.11</v>
      </c>
      <c r="F136" t="s">
        <v>1416</v>
      </c>
      <c r="G136" s="1">
        <v>-6.4600000000000005E-2</v>
      </c>
    </row>
    <row r="137" spans="1:7" x14ac:dyDescent="0.5">
      <c r="A137" t="s">
        <v>246</v>
      </c>
      <c r="B137">
        <v>142.59</v>
      </c>
      <c r="C137">
        <v>143.51</v>
      </c>
      <c r="D137">
        <v>150.97999999999999</v>
      </c>
      <c r="E137">
        <v>138.26</v>
      </c>
      <c r="F137" t="s">
        <v>1417</v>
      </c>
      <c r="G137" s="1">
        <v>-6.4000000000000003E-3</v>
      </c>
    </row>
    <row r="138" spans="1:7" x14ac:dyDescent="0.5">
      <c r="A138" t="s">
        <v>248</v>
      </c>
      <c r="B138">
        <v>143.51</v>
      </c>
      <c r="C138">
        <v>147.01</v>
      </c>
      <c r="D138">
        <v>151.07</v>
      </c>
      <c r="E138">
        <v>139.91</v>
      </c>
      <c r="F138" t="s">
        <v>1418</v>
      </c>
      <c r="G138" s="1">
        <v>-3.2300000000000002E-2</v>
      </c>
    </row>
    <row r="139" spans="1:7" x14ac:dyDescent="0.5">
      <c r="A139" t="s">
        <v>250</v>
      </c>
      <c r="B139">
        <v>148.30000000000001</v>
      </c>
      <c r="C139">
        <v>136.97</v>
      </c>
      <c r="D139">
        <v>157.61000000000001</v>
      </c>
      <c r="E139">
        <v>135.12</v>
      </c>
      <c r="F139" t="s">
        <v>1419</v>
      </c>
      <c r="G139" s="1">
        <v>9.3100000000000002E-2</v>
      </c>
    </row>
    <row r="140" spans="1:7" x14ac:dyDescent="0.5">
      <c r="A140" t="s">
        <v>252</v>
      </c>
      <c r="B140">
        <v>135.68</v>
      </c>
      <c r="C140">
        <v>126</v>
      </c>
      <c r="D140">
        <v>139.55000000000001</v>
      </c>
      <c r="E140">
        <v>120.01</v>
      </c>
      <c r="F140" t="s">
        <v>1420</v>
      </c>
      <c r="G140" s="1">
        <v>8.3099999999999993E-2</v>
      </c>
    </row>
    <row r="141" spans="1:7" x14ac:dyDescent="0.5">
      <c r="A141" t="s">
        <v>254</v>
      </c>
      <c r="B141">
        <v>125.26</v>
      </c>
      <c r="C141">
        <v>119.73</v>
      </c>
      <c r="D141">
        <v>126.55</v>
      </c>
      <c r="E141">
        <v>117.98</v>
      </c>
      <c r="F141" t="s">
        <v>1421</v>
      </c>
      <c r="G141" s="1">
        <v>2.9499999999999998E-2</v>
      </c>
    </row>
    <row r="142" spans="1:7" x14ac:dyDescent="0.5">
      <c r="A142" t="s">
        <v>256</v>
      </c>
      <c r="B142">
        <v>121.67</v>
      </c>
      <c r="C142">
        <v>104.71</v>
      </c>
      <c r="D142">
        <v>127.2</v>
      </c>
      <c r="E142">
        <v>102.59</v>
      </c>
      <c r="F142" t="s">
        <v>1422</v>
      </c>
      <c r="G142" s="1">
        <v>0.17330000000000001</v>
      </c>
    </row>
    <row r="143" spans="1:7" x14ac:dyDescent="0.5">
      <c r="A143" t="s">
        <v>258</v>
      </c>
      <c r="B143">
        <v>103.69</v>
      </c>
      <c r="C143">
        <v>112.17</v>
      </c>
      <c r="D143">
        <v>112.91</v>
      </c>
      <c r="E143">
        <v>96.32</v>
      </c>
      <c r="F143" t="s">
        <v>1423</v>
      </c>
      <c r="G143" s="1">
        <v>-9.2700000000000005E-2</v>
      </c>
    </row>
    <row r="144" spans="1:7" x14ac:dyDescent="0.5">
      <c r="A144" t="s">
        <v>260</v>
      </c>
      <c r="B144">
        <v>114.29</v>
      </c>
      <c r="C144">
        <v>115.21</v>
      </c>
      <c r="D144">
        <v>124.34</v>
      </c>
      <c r="E144">
        <v>111.99</v>
      </c>
      <c r="F144" t="s">
        <v>1424</v>
      </c>
      <c r="G144" s="1">
        <v>3.2000000000000002E-3</v>
      </c>
    </row>
    <row r="145" spans="1:7" x14ac:dyDescent="0.5">
      <c r="A145" t="s">
        <v>262</v>
      </c>
      <c r="B145">
        <v>113.92</v>
      </c>
      <c r="C145">
        <v>105.63</v>
      </c>
      <c r="D145">
        <v>114.29</v>
      </c>
      <c r="E145">
        <v>103.51</v>
      </c>
      <c r="F145" t="s">
        <v>1425</v>
      </c>
      <c r="G145" s="1">
        <v>7.0099999999999996E-2</v>
      </c>
    </row>
    <row r="146" spans="1:7" x14ac:dyDescent="0.5">
      <c r="A146" t="s">
        <v>264</v>
      </c>
      <c r="B146">
        <v>106.46</v>
      </c>
      <c r="C146">
        <v>117.06</v>
      </c>
      <c r="D146">
        <v>119.73</v>
      </c>
      <c r="E146">
        <v>103.97</v>
      </c>
      <c r="F146" t="s">
        <v>1426</v>
      </c>
      <c r="G146" s="1">
        <v>-8.6999999999999994E-2</v>
      </c>
    </row>
    <row r="147" spans="1:7" x14ac:dyDescent="0.5">
      <c r="A147" t="s">
        <v>266</v>
      </c>
      <c r="B147">
        <v>116.6</v>
      </c>
      <c r="C147">
        <v>117.06</v>
      </c>
      <c r="D147">
        <v>123.51</v>
      </c>
      <c r="E147">
        <v>115.77</v>
      </c>
      <c r="F147" t="s">
        <v>1427</v>
      </c>
      <c r="G147" s="1">
        <v>-1.4800000000000001E-2</v>
      </c>
    </row>
    <row r="148" spans="1:7" x14ac:dyDescent="0.5">
      <c r="A148" t="s">
        <v>268</v>
      </c>
      <c r="B148">
        <v>118.35</v>
      </c>
      <c r="C148">
        <v>110.61</v>
      </c>
      <c r="D148">
        <v>120.65</v>
      </c>
      <c r="E148">
        <v>110.14</v>
      </c>
      <c r="F148" t="s">
        <v>1428</v>
      </c>
      <c r="G148" s="1">
        <v>8.6300000000000002E-2</v>
      </c>
    </row>
    <row r="149" spans="1:7" x14ac:dyDescent="0.5">
      <c r="A149" t="s">
        <v>270</v>
      </c>
      <c r="B149">
        <v>108.95</v>
      </c>
      <c r="C149">
        <v>102.22</v>
      </c>
      <c r="D149">
        <v>110.14</v>
      </c>
      <c r="E149">
        <v>99.27</v>
      </c>
      <c r="F149" t="s">
        <v>1429</v>
      </c>
      <c r="G149" s="1">
        <v>8.14E-2</v>
      </c>
    </row>
    <row r="150" spans="1:7" x14ac:dyDescent="0.5">
      <c r="A150" t="s">
        <v>272</v>
      </c>
      <c r="B150">
        <v>100.74</v>
      </c>
      <c r="C150">
        <v>91.99</v>
      </c>
      <c r="D150">
        <v>105.54</v>
      </c>
      <c r="E150">
        <v>85.72</v>
      </c>
      <c r="F150" t="s">
        <v>1430</v>
      </c>
      <c r="G150" s="1">
        <v>0.13100000000000001</v>
      </c>
    </row>
    <row r="151" spans="1:7" x14ac:dyDescent="0.5">
      <c r="A151" t="s">
        <v>274</v>
      </c>
      <c r="B151">
        <v>89.07</v>
      </c>
      <c r="C151">
        <v>100.28</v>
      </c>
      <c r="D151">
        <v>106.27</v>
      </c>
      <c r="E151">
        <v>88.96</v>
      </c>
      <c r="F151" t="s">
        <v>1431</v>
      </c>
      <c r="G151" s="1">
        <v>-0.10440000000000001</v>
      </c>
    </row>
    <row r="152" spans="1:7" x14ac:dyDescent="0.5">
      <c r="A152" t="s">
        <v>276</v>
      </c>
      <c r="B152">
        <v>99.45</v>
      </c>
      <c r="C152">
        <v>111.89</v>
      </c>
      <c r="D152">
        <v>119.08</v>
      </c>
      <c r="E152">
        <v>94.57</v>
      </c>
      <c r="F152" t="s">
        <v>1432</v>
      </c>
      <c r="G152" s="1">
        <v>-0.1333</v>
      </c>
    </row>
    <row r="153" spans="1:7" x14ac:dyDescent="0.5">
      <c r="A153" t="s">
        <v>278</v>
      </c>
      <c r="B153">
        <v>114.75</v>
      </c>
      <c r="C153">
        <v>97.7</v>
      </c>
      <c r="D153">
        <v>116.32</v>
      </c>
      <c r="E153">
        <v>92.17</v>
      </c>
      <c r="F153" t="s">
        <v>1433</v>
      </c>
      <c r="G153" s="1">
        <v>0.1454</v>
      </c>
    </row>
    <row r="154" spans="1:7" x14ac:dyDescent="0.5">
      <c r="A154" t="s">
        <v>280</v>
      </c>
      <c r="B154">
        <v>100.19</v>
      </c>
      <c r="C154">
        <v>93</v>
      </c>
      <c r="D154">
        <v>100.47</v>
      </c>
      <c r="E154">
        <v>88.71</v>
      </c>
      <c r="F154" t="s">
        <v>1434</v>
      </c>
      <c r="G154" s="1">
        <v>9.8900000000000002E-2</v>
      </c>
    </row>
    <row r="155" spans="1:7" x14ac:dyDescent="0.5">
      <c r="A155" t="s">
        <v>282</v>
      </c>
      <c r="B155">
        <v>91.18</v>
      </c>
      <c r="C155">
        <v>82.95</v>
      </c>
      <c r="D155">
        <v>92.54</v>
      </c>
      <c r="E155">
        <v>81.11</v>
      </c>
      <c r="F155" t="s">
        <v>1435</v>
      </c>
      <c r="G155" s="1">
        <v>0.10299999999999999</v>
      </c>
    </row>
    <row r="156" spans="1:7" x14ac:dyDescent="0.5">
      <c r="A156" t="s">
        <v>284</v>
      </c>
      <c r="B156">
        <v>82.66</v>
      </c>
      <c r="C156">
        <v>77.42</v>
      </c>
      <c r="D156">
        <v>82.84</v>
      </c>
      <c r="E156">
        <v>71.489999999999995</v>
      </c>
      <c r="F156" t="s">
        <v>1436</v>
      </c>
      <c r="G156" s="1">
        <v>5.96E-2</v>
      </c>
    </row>
    <row r="157" spans="1:7" x14ac:dyDescent="0.5">
      <c r="A157" t="s">
        <v>286</v>
      </c>
      <c r="B157">
        <v>78.010000000000005</v>
      </c>
      <c r="C157">
        <v>74.180000000000007</v>
      </c>
      <c r="D157">
        <v>83.88</v>
      </c>
      <c r="E157">
        <v>74.180000000000007</v>
      </c>
      <c r="F157" t="s">
        <v>1437</v>
      </c>
      <c r="G157" s="1">
        <v>4.0300000000000002E-2</v>
      </c>
    </row>
    <row r="158" spans="1:7" x14ac:dyDescent="0.5">
      <c r="A158" t="s">
        <v>288</v>
      </c>
      <c r="B158">
        <v>74.989999999999995</v>
      </c>
      <c r="C158">
        <v>68.06</v>
      </c>
      <c r="D158">
        <v>77.87</v>
      </c>
      <c r="E158">
        <v>67.650000000000006</v>
      </c>
      <c r="F158" t="s">
        <v>1438</v>
      </c>
      <c r="G158" s="1">
        <v>0.1188</v>
      </c>
    </row>
    <row r="159" spans="1:7" x14ac:dyDescent="0.5">
      <c r="A159" t="s">
        <v>290</v>
      </c>
      <c r="B159">
        <v>67.03</v>
      </c>
      <c r="C159">
        <v>65.260000000000005</v>
      </c>
      <c r="D159">
        <v>70.05</v>
      </c>
      <c r="E159">
        <v>64.7</v>
      </c>
      <c r="F159" t="s">
        <v>1439</v>
      </c>
      <c r="G159" s="1">
        <v>3.3599999999999998E-2</v>
      </c>
    </row>
    <row r="160" spans="1:7" x14ac:dyDescent="0.5">
      <c r="A160" t="s">
        <v>292</v>
      </c>
      <c r="B160">
        <v>64.849999999999994</v>
      </c>
      <c r="C160">
        <v>57.74</v>
      </c>
      <c r="D160">
        <v>67.099999999999994</v>
      </c>
      <c r="E160">
        <v>54.56</v>
      </c>
      <c r="F160" t="s">
        <v>1440</v>
      </c>
      <c r="G160" s="1">
        <v>0.1565</v>
      </c>
    </row>
    <row r="161" spans="1:7" x14ac:dyDescent="0.5">
      <c r="A161" t="s">
        <v>293</v>
      </c>
      <c r="B161">
        <v>56.08</v>
      </c>
      <c r="C161">
        <v>56.44</v>
      </c>
      <c r="D161">
        <v>58.07</v>
      </c>
      <c r="E161">
        <v>49.66</v>
      </c>
      <c r="F161" t="s">
        <v>1441</v>
      </c>
      <c r="G161" s="1">
        <v>-1.17E-2</v>
      </c>
    </row>
    <row r="162" spans="1:7" x14ac:dyDescent="0.5">
      <c r="A162" t="s">
        <v>295</v>
      </c>
      <c r="B162">
        <v>56.74</v>
      </c>
      <c r="C162">
        <v>49.22</v>
      </c>
      <c r="D162">
        <v>57.15</v>
      </c>
      <c r="E162">
        <v>48.56</v>
      </c>
      <c r="F162" t="s">
        <v>1442</v>
      </c>
      <c r="G162" s="1">
        <v>0.15629999999999999</v>
      </c>
    </row>
    <row r="163" spans="1:7" x14ac:dyDescent="0.5">
      <c r="A163" t="s">
        <v>297</v>
      </c>
      <c r="B163">
        <v>49.07</v>
      </c>
      <c r="C163">
        <v>44.61</v>
      </c>
      <c r="D163">
        <v>49.51</v>
      </c>
      <c r="E163">
        <v>43.69</v>
      </c>
      <c r="F163" t="s">
        <v>1443</v>
      </c>
      <c r="G163" s="1">
        <v>2.4400000000000002E-2</v>
      </c>
    </row>
    <row r="164" spans="1:7" x14ac:dyDescent="0.5">
      <c r="A164" t="s">
        <v>299</v>
      </c>
      <c r="B164">
        <v>47.9</v>
      </c>
      <c r="C164">
        <v>52.48</v>
      </c>
      <c r="D164">
        <v>55.51</v>
      </c>
      <c r="E164">
        <v>46.47</v>
      </c>
      <c r="F164" t="s">
        <v>1444</v>
      </c>
      <c r="G164" s="1">
        <v>-7.9799999999999996E-2</v>
      </c>
    </row>
    <row r="165" spans="1:7" x14ac:dyDescent="0.5">
      <c r="A165" t="s">
        <v>301</v>
      </c>
      <c r="B165">
        <v>52.06</v>
      </c>
      <c r="C165">
        <v>52.02</v>
      </c>
      <c r="D165">
        <v>54.11</v>
      </c>
      <c r="E165">
        <v>50.97</v>
      </c>
      <c r="F165" t="s">
        <v>1445</v>
      </c>
      <c r="G165" s="1">
        <v>-1.18E-2</v>
      </c>
    </row>
    <row r="166" spans="1:7" x14ac:dyDescent="0.5">
      <c r="A166" t="s">
        <v>303</v>
      </c>
      <c r="B166">
        <v>52.68</v>
      </c>
      <c r="C166">
        <v>48.72</v>
      </c>
      <c r="D166">
        <v>52.99</v>
      </c>
      <c r="E166">
        <v>48.64</v>
      </c>
      <c r="F166" t="s">
        <v>1446</v>
      </c>
      <c r="G166" s="1">
        <v>0.09</v>
      </c>
    </row>
    <row r="167" spans="1:7" x14ac:dyDescent="0.5">
      <c r="A167" t="s">
        <v>305</v>
      </c>
      <c r="B167">
        <v>48.33</v>
      </c>
      <c r="C167">
        <v>48.64</v>
      </c>
      <c r="D167">
        <v>49.49</v>
      </c>
      <c r="E167">
        <v>46.43</v>
      </c>
      <c r="F167" t="s">
        <v>1447</v>
      </c>
      <c r="G167" s="1">
        <v>-1.66E-2</v>
      </c>
    </row>
    <row r="168" spans="1:7" x14ac:dyDescent="0.5">
      <c r="A168" t="s">
        <v>307</v>
      </c>
      <c r="B168">
        <v>49.14</v>
      </c>
      <c r="C168">
        <v>53.18</v>
      </c>
      <c r="D168">
        <v>54.54</v>
      </c>
      <c r="E168">
        <v>47.05</v>
      </c>
      <c r="F168" t="s">
        <v>1448</v>
      </c>
      <c r="G168" s="1">
        <v>-7.5899999999999995E-2</v>
      </c>
    </row>
    <row r="169" spans="1:7" x14ac:dyDescent="0.5">
      <c r="A169" t="s">
        <v>309</v>
      </c>
      <c r="B169">
        <v>53.18</v>
      </c>
      <c r="C169">
        <v>51.82</v>
      </c>
      <c r="D169">
        <v>53.3</v>
      </c>
      <c r="E169">
        <v>49.49</v>
      </c>
      <c r="F169" t="s">
        <v>1449</v>
      </c>
      <c r="G169" s="1">
        <v>3.7100000000000001E-2</v>
      </c>
    </row>
    <row r="170" spans="1:7" x14ac:dyDescent="0.5">
      <c r="A170" t="s">
        <v>311</v>
      </c>
      <c r="B170">
        <v>51.28</v>
      </c>
      <c r="C170">
        <v>46.35</v>
      </c>
      <c r="D170">
        <v>51.43</v>
      </c>
      <c r="E170">
        <v>45.22</v>
      </c>
      <c r="F170" t="s">
        <v>1450</v>
      </c>
      <c r="G170" s="1">
        <v>0.1148</v>
      </c>
    </row>
    <row r="171" spans="1:7" x14ac:dyDescent="0.5">
      <c r="A171" t="s">
        <v>313</v>
      </c>
      <c r="B171">
        <v>46</v>
      </c>
      <c r="C171">
        <v>44.99</v>
      </c>
      <c r="D171">
        <v>49.07</v>
      </c>
      <c r="E171">
        <v>43.59</v>
      </c>
      <c r="F171" t="s">
        <v>1451</v>
      </c>
      <c r="G171" s="1">
        <v>2.24E-2</v>
      </c>
    </row>
    <row r="172" spans="1:7" x14ac:dyDescent="0.5">
      <c r="A172" t="s">
        <v>315</v>
      </c>
      <c r="B172">
        <v>44.99</v>
      </c>
      <c r="C172">
        <v>44.64</v>
      </c>
      <c r="D172">
        <v>46.7</v>
      </c>
      <c r="E172">
        <v>42.58</v>
      </c>
      <c r="F172" t="s">
        <v>1452</v>
      </c>
      <c r="G172" s="1">
        <v>2.58E-2</v>
      </c>
    </row>
    <row r="173" spans="1:7" x14ac:dyDescent="0.5">
      <c r="A173" t="s">
        <v>317</v>
      </c>
      <c r="B173">
        <v>43.86</v>
      </c>
      <c r="C173">
        <v>41.42</v>
      </c>
      <c r="D173">
        <v>46.78</v>
      </c>
      <c r="E173">
        <v>39.67</v>
      </c>
      <c r="F173" t="s">
        <v>1453</v>
      </c>
      <c r="G173" s="1">
        <v>5.8900000000000001E-2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5B05-C2B6-E54E-9078-45370AA44B29}">
  <dimension ref="A1:K173"/>
  <sheetViews>
    <sheetView workbookViewId="0">
      <selection sqref="A1:A1048576"/>
    </sheetView>
  </sheetViews>
  <sheetFormatPr defaultColWidth="11" defaultRowHeight="15.75" x14ac:dyDescent="0.5"/>
  <sheetData>
    <row r="1" spans="1:11" x14ac:dyDescent="0.5">
      <c r="A1" t="s">
        <v>0</v>
      </c>
      <c r="B1" t="s">
        <v>1454</v>
      </c>
      <c r="C1" t="s">
        <v>1455</v>
      </c>
      <c r="D1" t="s">
        <v>1456</v>
      </c>
      <c r="E1" t="s">
        <v>1457</v>
      </c>
      <c r="F1" t="s">
        <v>1458</v>
      </c>
      <c r="G1" t="s">
        <v>1493</v>
      </c>
      <c r="H1" t="s">
        <v>1459</v>
      </c>
      <c r="I1" t="s">
        <v>1460</v>
      </c>
      <c r="J1" t="s">
        <v>1461</v>
      </c>
      <c r="K1" t="s">
        <v>1462</v>
      </c>
    </row>
    <row r="2" spans="1:11" x14ac:dyDescent="0.5">
      <c r="A2" s="3" t="str" cm="1">
        <f t="array" ref="A2">INDEX(Tencent!$A$2:$A$173,ROWS(Tencent!$A$2:$A$173)-ROW(A1)+1)</f>
        <v>06/01/2012</v>
      </c>
      <c r="B2">
        <f>VLOOKUP(A2,Apple!A:E,2,FALSE)</f>
        <v>20.86</v>
      </c>
      <c r="C2">
        <f>VLOOKUP(A2,Microsoft!A:E,2,FALSE)</f>
        <v>30.59</v>
      </c>
      <c r="D2">
        <f>VLOOKUP(A2,Google!A:E,2,FALSE)</f>
        <v>14.52</v>
      </c>
      <c r="E2">
        <f>VLOOKUP(A2,Amazon!A:E,2,FALSE)</f>
        <v>11.42</v>
      </c>
      <c r="F2">
        <f>VLOOKUP(A2,NVIDIA!A:E,2,FALSE)</f>
        <v>0.35</v>
      </c>
      <c r="G2">
        <f>VLOOKUP(A2,'Meta(Facebook)'!A:E,2,FALSE)</f>
        <v>31.09</v>
      </c>
      <c r="H2" s="2">
        <f>VLOOKUP(A2,'Samsung 005930'!A:E,2,FALSE)</f>
        <v>24020</v>
      </c>
      <c r="I2">
        <f>VLOOKUP(A2,Tesla!A:E,2,FALSE)</f>
        <v>2.09</v>
      </c>
      <c r="J2">
        <f>VLOOKUP(A2,Intel!A:E,2,FALSE)</f>
        <v>26.65</v>
      </c>
      <c r="K2">
        <f>VLOOKUP(A2,Tencent!A:E,2,FALSE)</f>
        <v>43.86</v>
      </c>
    </row>
    <row r="3" spans="1:11" x14ac:dyDescent="0.5">
      <c r="A3" s="3" t="str" cm="1">
        <f t="array" ref="A3">INDEX(Tencent!$A$2:$A$173,ROWS(Tencent!$A$2:$A$173)-ROW(A2)+1)</f>
        <v>07/01/2012</v>
      </c>
      <c r="B3">
        <f>VLOOKUP(A3,Apple!A:E,2,FALSE)</f>
        <v>21.81</v>
      </c>
      <c r="C3">
        <f>VLOOKUP(A3,Microsoft!A:E,2,FALSE)</f>
        <v>29.47</v>
      </c>
      <c r="D3">
        <f>VLOOKUP(A3,Google!A:E,2,FALSE)</f>
        <v>15.84</v>
      </c>
      <c r="E3">
        <f>VLOOKUP(A3,Amazon!A:E,2,FALSE)</f>
        <v>11.66</v>
      </c>
      <c r="F3">
        <f>VLOOKUP(A3,NVIDIA!A:E,2,FALSE)</f>
        <v>0.34</v>
      </c>
      <c r="G3">
        <f>VLOOKUP(A3,'Meta(Facebook)'!A:E,2,FALSE)</f>
        <v>21.71</v>
      </c>
      <c r="H3" s="2">
        <f>VLOOKUP(A3,'Samsung 005930'!A:E,2,FALSE)</f>
        <v>26180</v>
      </c>
      <c r="I3">
        <f>VLOOKUP(A3,Tesla!A:E,2,FALSE)</f>
        <v>1.83</v>
      </c>
      <c r="J3">
        <f>VLOOKUP(A3,Intel!A:E,2,FALSE)</f>
        <v>25.7</v>
      </c>
      <c r="K3">
        <f>VLOOKUP(A3,Tencent!A:E,2,FALSE)</f>
        <v>44.99</v>
      </c>
    </row>
    <row r="4" spans="1:11" x14ac:dyDescent="0.5">
      <c r="A4" s="3" t="str" cm="1">
        <f t="array" ref="A4">INDEX(Tencent!$A$2:$A$173,ROWS(Tencent!$A$2:$A$173)-ROW(A3)+1)</f>
        <v>08/01/2012</v>
      </c>
      <c r="B4">
        <f>VLOOKUP(A4,Apple!A:E,2,FALSE)</f>
        <v>23.76</v>
      </c>
      <c r="C4">
        <f>VLOOKUP(A4,Microsoft!A:E,2,FALSE)</f>
        <v>30.82</v>
      </c>
      <c r="D4">
        <f>VLOOKUP(A4,Google!A:E,2,FALSE)</f>
        <v>17.14</v>
      </c>
      <c r="E4">
        <f>VLOOKUP(A4,Amazon!A:E,2,FALSE)</f>
        <v>12.41</v>
      </c>
      <c r="F4">
        <f>VLOOKUP(A4,NVIDIA!A:E,2,FALSE)</f>
        <v>0.35</v>
      </c>
      <c r="G4">
        <f>VLOOKUP(A4,'Meta(Facebook)'!A:E,2,FALSE)</f>
        <v>18.059999999999999</v>
      </c>
      <c r="H4" s="2">
        <f>VLOOKUP(A4,'Samsung 005930'!A:E,2,FALSE)</f>
        <v>24660</v>
      </c>
      <c r="I4">
        <f>VLOOKUP(A4,Tesla!A:E,2,FALSE)</f>
        <v>1.9</v>
      </c>
      <c r="J4">
        <f>VLOOKUP(A4,Intel!A:E,2,FALSE)</f>
        <v>24.83</v>
      </c>
      <c r="K4">
        <f>VLOOKUP(A4,Tencent!A:E,2,FALSE)</f>
        <v>46</v>
      </c>
    </row>
    <row r="5" spans="1:11" x14ac:dyDescent="0.5">
      <c r="A5" s="3" t="str" cm="1">
        <f t="array" ref="A5">INDEX(Tencent!$A$2:$A$173,ROWS(Tencent!$A$2:$A$173)-ROW(A4)+1)</f>
        <v>09/01/2012</v>
      </c>
      <c r="B5">
        <f>VLOOKUP(A5,Apple!A:E,2,FALSE)</f>
        <v>23.83</v>
      </c>
      <c r="C5">
        <f>VLOOKUP(A5,Microsoft!A:E,2,FALSE)</f>
        <v>29.76</v>
      </c>
      <c r="D5">
        <f>VLOOKUP(A5,Google!A:E,2,FALSE)</f>
        <v>18.88</v>
      </c>
      <c r="E5">
        <f>VLOOKUP(A5,Amazon!A:E,2,FALSE)</f>
        <v>12.72</v>
      </c>
      <c r="F5">
        <f>VLOOKUP(A5,NVIDIA!A:E,2,FALSE)</f>
        <v>0.33</v>
      </c>
      <c r="G5">
        <f>VLOOKUP(A5,'Meta(Facebook)'!A:E,2,FALSE)</f>
        <v>21.66</v>
      </c>
      <c r="H5" s="2">
        <f>VLOOKUP(A5,'Samsung 005930'!A:E,2,FALSE)</f>
        <v>26920</v>
      </c>
      <c r="I5">
        <f>VLOOKUP(A5,Tesla!A:E,2,FALSE)</f>
        <v>1.95</v>
      </c>
      <c r="J5">
        <f>VLOOKUP(A5,Intel!A:E,2,FALSE)</f>
        <v>22.66</v>
      </c>
      <c r="K5">
        <f>VLOOKUP(A5,Tencent!A:E,2,FALSE)</f>
        <v>51.28</v>
      </c>
    </row>
    <row r="6" spans="1:11" x14ac:dyDescent="0.5">
      <c r="A6" s="3" t="str" cm="1">
        <f t="array" ref="A6">INDEX(Tencent!$A$2:$A$173,ROWS(Tencent!$A$2:$A$173)-ROW(A5)+1)</f>
        <v>10/01/2012</v>
      </c>
      <c r="B6">
        <f>VLOOKUP(A6,Apple!A:E,2,FALSE)</f>
        <v>21.26</v>
      </c>
      <c r="C6">
        <f>VLOOKUP(A6,Microsoft!A:E,2,FALSE)</f>
        <v>28.54</v>
      </c>
      <c r="D6">
        <f>VLOOKUP(A6,Google!A:E,2,FALSE)</f>
        <v>17.02</v>
      </c>
      <c r="E6">
        <f>VLOOKUP(A6,Amazon!A:E,2,FALSE)</f>
        <v>11.64</v>
      </c>
      <c r="F6">
        <f>VLOOKUP(A6,NVIDIA!A:E,2,FALSE)</f>
        <v>0.3</v>
      </c>
      <c r="G6">
        <f>VLOOKUP(A6,'Meta(Facebook)'!A:E,2,FALSE)</f>
        <v>21.11</v>
      </c>
      <c r="H6" s="2">
        <f>VLOOKUP(A6,'Samsung 005930'!A:E,2,FALSE)</f>
        <v>26200</v>
      </c>
      <c r="I6">
        <f>VLOOKUP(A6,Tesla!A:E,2,FALSE)</f>
        <v>1.88</v>
      </c>
      <c r="J6">
        <f>VLOOKUP(A6,Intel!A:E,2,FALSE)</f>
        <v>21.63</v>
      </c>
      <c r="K6">
        <f>VLOOKUP(A6,Tencent!A:E,2,FALSE)</f>
        <v>53.18</v>
      </c>
    </row>
    <row r="7" spans="1:11" x14ac:dyDescent="0.5">
      <c r="A7" s="3" t="str" cm="1">
        <f t="array" ref="A7">INDEX(Tencent!$A$2:$A$173,ROWS(Tencent!$A$2:$A$173)-ROW(A6)+1)</f>
        <v>11/01/2012</v>
      </c>
      <c r="B7">
        <f>VLOOKUP(A7,Apple!A:E,2,FALSE)</f>
        <v>20.9</v>
      </c>
      <c r="C7">
        <f>VLOOKUP(A7,Microsoft!A:E,2,FALSE)</f>
        <v>26.61</v>
      </c>
      <c r="D7">
        <f>VLOOKUP(A7,Google!A:E,2,FALSE)</f>
        <v>17.48</v>
      </c>
      <c r="E7">
        <f>VLOOKUP(A7,Amazon!A:E,2,FALSE)</f>
        <v>12.6</v>
      </c>
      <c r="F7">
        <f>VLOOKUP(A7,NVIDIA!A:E,2,FALSE)</f>
        <v>0.3</v>
      </c>
      <c r="G7">
        <f>VLOOKUP(A7,'Meta(Facebook)'!A:E,2,FALSE)</f>
        <v>28</v>
      </c>
      <c r="H7" s="2">
        <f>VLOOKUP(A7,'Samsung 005930'!A:E,2,FALSE)</f>
        <v>28120</v>
      </c>
      <c r="I7">
        <f>VLOOKUP(A7,Tesla!A:E,2,FALSE)</f>
        <v>2.25</v>
      </c>
      <c r="J7">
        <f>VLOOKUP(A7,Intel!A:E,2,FALSE)</f>
        <v>19.57</v>
      </c>
      <c r="K7">
        <f>VLOOKUP(A7,Tencent!A:E,2,FALSE)</f>
        <v>49.14</v>
      </c>
    </row>
    <row r="8" spans="1:11" x14ac:dyDescent="0.5">
      <c r="A8" s="3" t="str" cm="1">
        <f t="array" ref="A8">INDEX(Tencent!$A$2:$A$173,ROWS(Tencent!$A$2:$A$173)-ROW(A7)+1)</f>
        <v>12/01/2012</v>
      </c>
      <c r="B8">
        <f>VLOOKUP(A8,Apple!A:E,2,FALSE)</f>
        <v>19.010000000000002</v>
      </c>
      <c r="C8">
        <f>VLOOKUP(A8,Microsoft!A:E,2,FALSE)</f>
        <v>26.71</v>
      </c>
      <c r="D8">
        <f>VLOOKUP(A8,Google!A:E,2,FALSE)</f>
        <v>17.7</v>
      </c>
      <c r="E8">
        <f>VLOOKUP(A8,Amazon!A:E,2,FALSE)</f>
        <v>12.54</v>
      </c>
      <c r="F8">
        <f>VLOOKUP(A8,NVIDIA!A:E,2,FALSE)</f>
        <v>0.31</v>
      </c>
      <c r="G8">
        <f>VLOOKUP(A8,'Meta(Facebook)'!A:E,2,FALSE)</f>
        <v>26.62</v>
      </c>
      <c r="H8" s="2">
        <f>VLOOKUP(A8,'Samsung 005930'!A:E,2,FALSE)</f>
        <v>30440</v>
      </c>
      <c r="I8">
        <f>VLOOKUP(A8,Tesla!A:E,2,FALSE)</f>
        <v>2.2599999999999998</v>
      </c>
      <c r="J8">
        <f>VLOOKUP(A8,Intel!A:E,2,FALSE)</f>
        <v>20.62</v>
      </c>
      <c r="K8">
        <f>VLOOKUP(A8,Tencent!A:E,2,FALSE)</f>
        <v>48.33</v>
      </c>
    </row>
    <row r="9" spans="1:11" x14ac:dyDescent="0.5">
      <c r="A9" s="3" t="str" cm="1">
        <f t="array" ref="A9">INDEX(Tencent!$A$2:$A$173,ROWS(Tencent!$A$2:$A$173)-ROW(A8)+1)</f>
        <v>01/01/2013</v>
      </c>
      <c r="B9">
        <f>VLOOKUP(A9,Apple!A:E,2,FALSE)</f>
        <v>16.27</v>
      </c>
      <c r="C9">
        <f>VLOOKUP(A9,Microsoft!A:E,2,FALSE)</f>
        <v>27.45</v>
      </c>
      <c r="D9">
        <f>VLOOKUP(A9,Google!A:E,2,FALSE)</f>
        <v>18.91</v>
      </c>
      <c r="E9">
        <f>VLOOKUP(A9,Amazon!A:E,2,FALSE)</f>
        <v>13.28</v>
      </c>
      <c r="F9">
        <f>VLOOKUP(A9,NVIDIA!A:E,2,FALSE)</f>
        <v>0.31</v>
      </c>
      <c r="G9">
        <f>VLOOKUP(A9,'Meta(Facebook)'!A:E,2,FALSE)</f>
        <v>30.98</v>
      </c>
      <c r="H9" s="2">
        <f>VLOOKUP(A9,'Samsung 005930'!A:E,2,FALSE)</f>
        <v>28960</v>
      </c>
      <c r="I9">
        <f>VLOOKUP(A9,Tesla!A:E,2,FALSE)</f>
        <v>2.5</v>
      </c>
      <c r="J9">
        <f>VLOOKUP(A9,Intel!A:E,2,FALSE)</f>
        <v>21.04</v>
      </c>
      <c r="K9">
        <f>VLOOKUP(A9,Tencent!A:E,2,FALSE)</f>
        <v>52.68</v>
      </c>
    </row>
    <row r="10" spans="1:11" x14ac:dyDescent="0.5">
      <c r="A10" s="3" t="str" cm="1">
        <f t="array" ref="A10">INDEX(Tencent!$A$2:$A$173,ROWS(Tencent!$A$2:$A$173)-ROW(A9)+1)</f>
        <v>02/01/2013</v>
      </c>
      <c r="B10">
        <f>VLOOKUP(A10,Apple!A:E,2,FALSE)</f>
        <v>15.76</v>
      </c>
      <c r="C10">
        <f>VLOOKUP(A10,Microsoft!A:E,2,FALSE)</f>
        <v>27.8</v>
      </c>
      <c r="D10">
        <f>VLOOKUP(A10,Google!A:E,2,FALSE)</f>
        <v>20.05</v>
      </c>
      <c r="E10">
        <f>VLOOKUP(A10,Amazon!A:E,2,FALSE)</f>
        <v>13.21</v>
      </c>
      <c r="F10">
        <f>VLOOKUP(A10,NVIDIA!A:E,2,FALSE)</f>
        <v>0.32</v>
      </c>
      <c r="G10">
        <f>VLOOKUP(A10,'Meta(Facebook)'!A:E,2,FALSE)</f>
        <v>27.25</v>
      </c>
      <c r="H10" s="2">
        <f>VLOOKUP(A10,'Samsung 005930'!A:E,2,FALSE)</f>
        <v>30880</v>
      </c>
      <c r="I10">
        <f>VLOOKUP(A10,Tesla!A:E,2,FALSE)</f>
        <v>2.3199999999999998</v>
      </c>
      <c r="J10">
        <f>VLOOKUP(A10,Intel!A:E,2,FALSE)</f>
        <v>20.88</v>
      </c>
      <c r="K10">
        <f>VLOOKUP(A10,Tencent!A:E,2,FALSE)</f>
        <v>52.06</v>
      </c>
    </row>
    <row r="11" spans="1:11" x14ac:dyDescent="0.5">
      <c r="A11" s="3" t="str" cm="1">
        <f t="array" ref="A11">INDEX(Tencent!$A$2:$A$173,ROWS(Tencent!$A$2:$A$173)-ROW(A10)+1)</f>
        <v>03/01/2013</v>
      </c>
      <c r="B11">
        <f>VLOOKUP(A11,Apple!A:E,2,FALSE)</f>
        <v>15.81</v>
      </c>
      <c r="C11">
        <f>VLOOKUP(A11,Microsoft!A:E,2,FALSE)</f>
        <v>28.61</v>
      </c>
      <c r="D11">
        <f>VLOOKUP(A11,Google!A:E,2,FALSE)</f>
        <v>19.87</v>
      </c>
      <c r="E11">
        <f>VLOOKUP(A11,Amazon!A:E,2,FALSE)</f>
        <v>13.32</v>
      </c>
      <c r="F11">
        <f>VLOOKUP(A11,NVIDIA!A:E,2,FALSE)</f>
        <v>0.32</v>
      </c>
      <c r="G11">
        <f>VLOOKUP(A11,'Meta(Facebook)'!A:E,2,FALSE)</f>
        <v>25.58</v>
      </c>
      <c r="H11" s="2">
        <f>VLOOKUP(A11,'Samsung 005930'!A:E,2,FALSE)</f>
        <v>30540</v>
      </c>
      <c r="I11">
        <f>VLOOKUP(A11,Tesla!A:E,2,FALSE)</f>
        <v>2.5299999999999998</v>
      </c>
      <c r="J11">
        <f>VLOOKUP(A11,Intel!A:E,2,FALSE)</f>
        <v>21.84</v>
      </c>
      <c r="K11">
        <f>VLOOKUP(A11,Tencent!A:E,2,FALSE)</f>
        <v>47.9</v>
      </c>
    </row>
    <row r="12" spans="1:11" x14ac:dyDescent="0.5">
      <c r="A12" s="3" t="str" cm="1">
        <f t="array" ref="A12">INDEX(Tencent!$A$2:$A$173,ROWS(Tencent!$A$2:$A$173)-ROW(A11)+1)</f>
        <v>04/01/2013</v>
      </c>
      <c r="B12">
        <f>VLOOKUP(A12,Apple!A:E,2,FALSE)</f>
        <v>15.81</v>
      </c>
      <c r="C12">
        <f>VLOOKUP(A12,Microsoft!A:E,2,FALSE)</f>
        <v>33.1</v>
      </c>
      <c r="D12">
        <f>VLOOKUP(A12,Google!A:E,2,FALSE)</f>
        <v>20.63</v>
      </c>
      <c r="E12">
        <f>VLOOKUP(A12,Amazon!A:E,2,FALSE)</f>
        <v>12.69</v>
      </c>
      <c r="F12">
        <f>VLOOKUP(A12,NVIDIA!A:E,2,FALSE)</f>
        <v>0.34</v>
      </c>
      <c r="G12">
        <f>VLOOKUP(A12,'Meta(Facebook)'!A:E,2,FALSE)</f>
        <v>27.77</v>
      </c>
      <c r="H12" s="2">
        <f>VLOOKUP(A12,'Samsung 005930'!A:E,2,FALSE)</f>
        <v>30400</v>
      </c>
      <c r="I12">
        <f>VLOOKUP(A12,Tesla!A:E,2,FALSE)</f>
        <v>3.6</v>
      </c>
      <c r="J12">
        <f>VLOOKUP(A12,Intel!A:E,2,FALSE)</f>
        <v>23.95</v>
      </c>
      <c r="K12">
        <f>VLOOKUP(A12,Tencent!A:E,2,FALSE)</f>
        <v>49.07</v>
      </c>
    </row>
    <row r="13" spans="1:11" x14ac:dyDescent="0.5">
      <c r="A13" s="3" t="str" cm="1">
        <f t="array" ref="A13">INDEX(Tencent!$A$2:$A$173,ROWS(Tencent!$A$2:$A$173)-ROW(A12)+1)</f>
        <v>05/01/2013</v>
      </c>
      <c r="B13">
        <f>VLOOKUP(A13,Apple!A:E,2,FALSE)</f>
        <v>16.059999999999999</v>
      </c>
      <c r="C13">
        <f>VLOOKUP(A13,Microsoft!A:E,2,FALSE)</f>
        <v>34.9</v>
      </c>
      <c r="D13">
        <f>VLOOKUP(A13,Google!A:E,2,FALSE)</f>
        <v>21.8</v>
      </c>
      <c r="E13">
        <f>VLOOKUP(A13,Amazon!A:E,2,FALSE)</f>
        <v>13.46</v>
      </c>
      <c r="F13">
        <f>VLOOKUP(A13,NVIDIA!A:E,2,FALSE)</f>
        <v>0.36</v>
      </c>
      <c r="G13">
        <f>VLOOKUP(A13,'Meta(Facebook)'!A:E,2,FALSE)</f>
        <v>24.35</v>
      </c>
      <c r="H13" s="2">
        <f>VLOOKUP(A13,'Samsung 005930'!A:E,2,FALSE)</f>
        <v>30760</v>
      </c>
      <c r="I13">
        <f>VLOOKUP(A13,Tesla!A:E,2,FALSE)</f>
        <v>6.52</v>
      </c>
      <c r="J13">
        <f>VLOOKUP(A13,Intel!A:E,2,FALSE)</f>
        <v>24.28</v>
      </c>
      <c r="K13">
        <f>VLOOKUP(A13,Tencent!A:E,2,FALSE)</f>
        <v>56.74</v>
      </c>
    </row>
    <row r="14" spans="1:11" x14ac:dyDescent="0.5">
      <c r="A14" s="3" t="str" cm="1">
        <f t="array" ref="A14">INDEX(Tencent!$A$2:$A$173,ROWS(Tencent!$A$2:$A$173)-ROW(A13)+1)</f>
        <v>06/01/2013</v>
      </c>
      <c r="B14">
        <f>VLOOKUP(A14,Apple!A:E,2,FALSE)</f>
        <v>14.16</v>
      </c>
      <c r="C14">
        <f>VLOOKUP(A14,Microsoft!A:E,2,FALSE)</f>
        <v>34.549999999999997</v>
      </c>
      <c r="D14">
        <f>VLOOKUP(A14,Google!A:E,2,FALSE)</f>
        <v>22.03</v>
      </c>
      <c r="E14">
        <f>VLOOKUP(A14,Amazon!A:E,2,FALSE)</f>
        <v>13.88</v>
      </c>
      <c r="F14">
        <f>VLOOKUP(A14,NVIDIA!A:E,2,FALSE)</f>
        <v>0.35</v>
      </c>
      <c r="G14">
        <f>VLOOKUP(A14,'Meta(Facebook)'!A:E,2,FALSE)</f>
        <v>24.88</v>
      </c>
      <c r="H14" s="2">
        <f>VLOOKUP(A14,'Samsung 005930'!A:E,2,FALSE)</f>
        <v>26840</v>
      </c>
      <c r="I14">
        <f>VLOOKUP(A14,Tesla!A:E,2,FALSE)</f>
        <v>7.16</v>
      </c>
      <c r="J14">
        <f>VLOOKUP(A14,Intel!A:E,2,FALSE)</f>
        <v>24.23</v>
      </c>
      <c r="K14">
        <f>VLOOKUP(A14,Tencent!A:E,2,FALSE)</f>
        <v>56.08</v>
      </c>
    </row>
    <row r="15" spans="1:11" x14ac:dyDescent="0.5">
      <c r="A15" s="3" t="str" cm="1">
        <f t="array" ref="A15">INDEX(Tencent!$A$2:$A$173,ROWS(Tencent!$A$2:$A$173)-ROW(A14)+1)</f>
        <v>07/01/2013</v>
      </c>
      <c r="B15">
        <f>VLOOKUP(A15,Apple!A:E,2,FALSE)</f>
        <v>16.16</v>
      </c>
      <c r="C15">
        <f>VLOOKUP(A15,Microsoft!A:E,2,FALSE)</f>
        <v>31.84</v>
      </c>
      <c r="D15">
        <f>VLOOKUP(A15,Google!A:E,2,FALSE)</f>
        <v>22.22</v>
      </c>
      <c r="E15">
        <f>VLOOKUP(A15,Amazon!A:E,2,FALSE)</f>
        <v>15.06</v>
      </c>
      <c r="F15">
        <f>VLOOKUP(A15,NVIDIA!A:E,2,FALSE)</f>
        <v>0.36</v>
      </c>
      <c r="G15">
        <f>VLOOKUP(A15,'Meta(Facebook)'!A:E,2,FALSE)</f>
        <v>36.799999999999997</v>
      </c>
      <c r="H15" s="2">
        <f>VLOOKUP(A15,'Samsung 005930'!A:E,2,FALSE)</f>
        <v>25600</v>
      </c>
      <c r="I15">
        <f>VLOOKUP(A15,Tesla!A:E,2,FALSE)</f>
        <v>8.9499999999999993</v>
      </c>
      <c r="J15">
        <f>VLOOKUP(A15,Intel!A:E,2,FALSE)</f>
        <v>23.34</v>
      </c>
      <c r="K15">
        <f>VLOOKUP(A15,Tencent!A:E,2,FALSE)</f>
        <v>64.849999999999994</v>
      </c>
    </row>
    <row r="16" spans="1:11" x14ac:dyDescent="0.5">
      <c r="A16" s="3" t="str" cm="1">
        <f t="array" ref="A16">INDEX(Tencent!$A$2:$A$173,ROWS(Tencent!$A$2:$A$173)-ROW(A15)+1)</f>
        <v>08/01/2013</v>
      </c>
      <c r="B16">
        <f>VLOOKUP(A16,Apple!A:E,2,FALSE)</f>
        <v>17.399999999999999</v>
      </c>
      <c r="C16">
        <f>VLOOKUP(A16,Microsoft!A:E,2,FALSE)</f>
        <v>33.4</v>
      </c>
      <c r="D16">
        <f>VLOOKUP(A16,Google!A:E,2,FALSE)</f>
        <v>21.19</v>
      </c>
      <c r="E16">
        <f>VLOOKUP(A16,Amazon!A:E,2,FALSE)</f>
        <v>14.05</v>
      </c>
      <c r="F16">
        <f>VLOOKUP(A16,NVIDIA!A:E,2,FALSE)</f>
        <v>0.37</v>
      </c>
      <c r="G16">
        <f>VLOOKUP(A16,'Meta(Facebook)'!A:E,2,FALSE)</f>
        <v>41.29</v>
      </c>
      <c r="H16" s="2">
        <f>VLOOKUP(A16,'Samsung 005930'!A:E,2,FALSE)</f>
        <v>27360</v>
      </c>
      <c r="I16">
        <f>VLOOKUP(A16,Tesla!A:E,2,FALSE)</f>
        <v>11.27</v>
      </c>
      <c r="J16">
        <f>VLOOKUP(A16,Intel!A:E,2,FALSE)</f>
        <v>21.98</v>
      </c>
      <c r="K16">
        <f>VLOOKUP(A16,Tencent!A:E,2,FALSE)</f>
        <v>67.03</v>
      </c>
    </row>
    <row r="17" spans="1:11" x14ac:dyDescent="0.5">
      <c r="A17" s="3" t="str" cm="1">
        <f t="array" ref="A17">INDEX(Tencent!$A$2:$A$173,ROWS(Tencent!$A$2:$A$173)-ROW(A16)+1)</f>
        <v>09/01/2013</v>
      </c>
      <c r="B17">
        <f>VLOOKUP(A17,Apple!A:E,2,FALSE)</f>
        <v>17.03</v>
      </c>
      <c r="C17">
        <f>VLOOKUP(A17,Microsoft!A:E,2,FALSE)</f>
        <v>33.28</v>
      </c>
      <c r="D17">
        <f>VLOOKUP(A17,Google!A:E,2,FALSE)</f>
        <v>21.92</v>
      </c>
      <c r="E17">
        <f>VLOOKUP(A17,Amazon!A:E,2,FALSE)</f>
        <v>15.63</v>
      </c>
      <c r="F17">
        <f>VLOOKUP(A17,NVIDIA!A:E,2,FALSE)</f>
        <v>0.39</v>
      </c>
      <c r="G17">
        <f>VLOOKUP(A17,'Meta(Facebook)'!A:E,2,FALSE)</f>
        <v>50.23</v>
      </c>
      <c r="H17" s="2">
        <f>VLOOKUP(A17,'Samsung 005930'!A:E,2,FALSE)</f>
        <v>27340</v>
      </c>
      <c r="I17">
        <f>VLOOKUP(A17,Tesla!A:E,2,FALSE)</f>
        <v>12.89</v>
      </c>
      <c r="J17">
        <f>VLOOKUP(A17,Intel!A:E,2,FALSE)</f>
        <v>22.92</v>
      </c>
      <c r="K17">
        <f>VLOOKUP(A17,Tencent!A:E,2,FALSE)</f>
        <v>74.989999999999995</v>
      </c>
    </row>
    <row r="18" spans="1:11" x14ac:dyDescent="0.5">
      <c r="A18" s="3" t="str" cm="1">
        <f t="array" ref="A18">INDEX(Tencent!$A$2:$A$173,ROWS(Tencent!$A$2:$A$173)-ROW(A17)+1)</f>
        <v>10/01/2013</v>
      </c>
      <c r="B18">
        <f>VLOOKUP(A18,Apple!A:E,2,FALSE)</f>
        <v>18.670000000000002</v>
      </c>
      <c r="C18">
        <f>VLOOKUP(A18,Microsoft!A:E,2,FALSE)</f>
        <v>35.409999999999997</v>
      </c>
      <c r="D18">
        <f>VLOOKUP(A18,Google!A:E,2,FALSE)</f>
        <v>25.79</v>
      </c>
      <c r="E18">
        <f>VLOOKUP(A18,Amazon!A:E,2,FALSE)</f>
        <v>18.2</v>
      </c>
      <c r="F18">
        <f>VLOOKUP(A18,NVIDIA!A:E,2,FALSE)</f>
        <v>0.38</v>
      </c>
      <c r="G18">
        <f>VLOOKUP(A18,'Meta(Facebook)'!A:E,2,FALSE)</f>
        <v>50.21</v>
      </c>
      <c r="H18" s="2">
        <f>VLOOKUP(A18,'Samsung 005930'!A:E,2,FALSE)</f>
        <v>29300</v>
      </c>
      <c r="I18">
        <f>VLOOKUP(A18,Tesla!A:E,2,FALSE)</f>
        <v>10.66</v>
      </c>
      <c r="J18">
        <f>VLOOKUP(A18,Intel!A:E,2,FALSE)</f>
        <v>24.47</v>
      </c>
      <c r="K18">
        <f>VLOOKUP(A18,Tencent!A:E,2,FALSE)</f>
        <v>78.010000000000005</v>
      </c>
    </row>
    <row r="19" spans="1:11" x14ac:dyDescent="0.5">
      <c r="A19" s="3" t="str" cm="1">
        <f t="array" ref="A19">INDEX(Tencent!$A$2:$A$173,ROWS(Tencent!$A$2:$A$173)-ROW(A18)+1)</f>
        <v>11/01/2013</v>
      </c>
      <c r="B19">
        <f>VLOOKUP(A19,Apple!A:E,2,FALSE)</f>
        <v>19.86</v>
      </c>
      <c r="C19">
        <f>VLOOKUP(A19,Microsoft!A:E,2,FALSE)</f>
        <v>38.130000000000003</v>
      </c>
      <c r="D19">
        <f>VLOOKUP(A19,Google!A:E,2,FALSE)</f>
        <v>26.52</v>
      </c>
      <c r="E19">
        <f>VLOOKUP(A19,Amazon!A:E,2,FALSE)</f>
        <v>19.68</v>
      </c>
      <c r="F19">
        <f>VLOOKUP(A19,NVIDIA!A:E,2,FALSE)</f>
        <v>0.39</v>
      </c>
      <c r="G19">
        <f>VLOOKUP(A19,'Meta(Facebook)'!A:E,2,FALSE)</f>
        <v>47.01</v>
      </c>
      <c r="H19" s="2">
        <f>VLOOKUP(A19,'Samsung 005930'!A:E,2,FALSE)</f>
        <v>29880</v>
      </c>
      <c r="I19">
        <f>VLOOKUP(A19,Tesla!A:E,2,FALSE)</f>
        <v>8.49</v>
      </c>
      <c r="J19">
        <f>VLOOKUP(A19,Intel!A:E,2,FALSE)</f>
        <v>23.84</v>
      </c>
      <c r="K19">
        <f>VLOOKUP(A19,Tencent!A:E,2,FALSE)</f>
        <v>82.66</v>
      </c>
    </row>
    <row r="20" spans="1:11" x14ac:dyDescent="0.5">
      <c r="A20" s="3" t="str" cm="1">
        <f t="array" ref="A20">INDEX(Tencent!$A$2:$A$173,ROWS(Tencent!$A$2:$A$173)-ROW(A19)+1)</f>
        <v>12/01/2013</v>
      </c>
      <c r="B20">
        <f>VLOOKUP(A20,Apple!A:E,2,FALSE)</f>
        <v>20.04</v>
      </c>
      <c r="C20">
        <f>VLOOKUP(A20,Microsoft!A:E,2,FALSE)</f>
        <v>37.409999999999997</v>
      </c>
      <c r="D20">
        <f>VLOOKUP(A20,Google!A:E,2,FALSE)</f>
        <v>28.04</v>
      </c>
      <c r="E20">
        <f>VLOOKUP(A20,Amazon!A:E,2,FALSE)</f>
        <v>19.940000000000001</v>
      </c>
      <c r="F20">
        <f>VLOOKUP(A20,NVIDIA!A:E,2,FALSE)</f>
        <v>0.4</v>
      </c>
      <c r="G20">
        <f>VLOOKUP(A20,'Meta(Facebook)'!A:E,2,FALSE)</f>
        <v>54.65</v>
      </c>
      <c r="H20" s="2">
        <f>VLOOKUP(A20,'Samsung 005930'!A:E,2,FALSE)</f>
        <v>27440</v>
      </c>
      <c r="I20">
        <f>VLOOKUP(A20,Tesla!A:E,2,FALSE)</f>
        <v>10.029999999999999</v>
      </c>
      <c r="J20">
        <f>VLOOKUP(A20,Intel!A:E,2,FALSE)</f>
        <v>25.95</v>
      </c>
      <c r="K20">
        <f>VLOOKUP(A20,Tencent!A:E,2,FALSE)</f>
        <v>91.18</v>
      </c>
    </row>
    <row r="21" spans="1:11" x14ac:dyDescent="0.5">
      <c r="A21" s="3" t="str" cm="1">
        <f t="array" ref="A21">INDEX(Tencent!$A$2:$A$173,ROWS(Tencent!$A$2:$A$173)-ROW(A20)+1)</f>
        <v>01/01/2014</v>
      </c>
      <c r="B21">
        <f>VLOOKUP(A21,Apple!A:E,2,FALSE)</f>
        <v>17.88</v>
      </c>
      <c r="C21">
        <f>VLOOKUP(A21,Microsoft!A:E,2,FALSE)</f>
        <v>37.840000000000003</v>
      </c>
      <c r="D21">
        <f>VLOOKUP(A21,Google!A:E,2,FALSE)</f>
        <v>29.55</v>
      </c>
      <c r="E21">
        <f>VLOOKUP(A21,Amazon!A:E,2,FALSE)</f>
        <v>17.93</v>
      </c>
      <c r="F21">
        <f>VLOOKUP(A21,NVIDIA!A:E,2,FALSE)</f>
        <v>0.39</v>
      </c>
      <c r="G21">
        <f>VLOOKUP(A21,'Meta(Facebook)'!A:E,2,FALSE)</f>
        <v>62.57</v>
      </c>
      <c r="H21" s="2">
        <f>VLOOKUP(A21,'Samsung 005930'!A:E,2,FALSE)</f>
        <v>25600</v>
      </c>
      <c r="I21">
        <f>VLOOKUP(A21,Tesla!A:E,2,FALSE)</f>
        <v>12.09</v>
      </c>
      <c r="J21">
        <f>VLOOKUP(A21,Intel!A:E,2,FALSE)</f>
        <v>24.54</v>
      </c>
      <c r="K21">
        <f>VLOOKUP(A21,Tencent!A:E,2,FALSE)</f>
        <v>100.19</v>
      </c>
    </row>
    <row r="22" spans="1:11" x14ac:dyDescent="0.5">
      <c r="A22" s="3" t="str" cm="1">
        <f t="array" ref="A22">INDEX(Tencent!$A$2:$A$173,ROWS(Tencent!$A$2:$A$173)-ROW(A21)+1)</f>
        <v>02/01/2014</v>
      </c>
      <c r="B22">
        <f>VLOOKUP(A22,Apple!A:E,2,FALSE)</f>
        <v>18.79</v>
      </c>
      <c r="C22">
        <f>VLOOKUP(A22,Microsoft!A:E,2,FALSE)</f>
        <v>38.31</v>
      </c>
      <c r="D22">
        <f>VLOOKUP(A22,Google!A:E,2,FALSE)</f>
        <v>30.42</v>
      </c>
      <c r="E22">
        <f>VLOOKUP(A22,Amazon!A:E,2,FALSE)</f>
        <v>18.11</v>
      </c>
      <c r="F22">
        <f>VLOOKUP(A22,NVIDIA!A:E,2,FALSE)</f>
        <v>0.46</v>
      </c>
      <c r="G22">
        <f>VLOOKUP(A22,'Meta(Facebook)'!A:E,2,FALSE)</f>
        <v>68.459999999999994</v>
      </c>
      <c r="H22" s="2">
        <f>VLOOKUP(A22,'Samsung 005930'!A:E,2,FALSE)</f>
        <v>26980</v>
      </c>
      <c r="I22">
        <f>VLOOKUP(A22,Tesla!A:E,2,FALSE)</f>
        <v>16.32</v>
      </c>
      <c r="J22">
        <f>VLOOKUP(A22,Intel!A:E,2,FALSE)</f>
        <v>24.76</v>
      </c>
      <c r="K22">
        <f>VLOOKUP(A22,Tencent!A:E,2,FALSE)</f>
        <v>114.75</v>
      </c>
    </row>
    <row r="23" spans="1:11" x14ac:dyDescent="0.5">
      <c r="A23" s="3" t="str" cm="1">
        <f t="array" ref="A23">INDEX(Tencent!$A$2:$A$173,ROWS(Tencent!$A$2:$A$173)-ROW(A22)+1)</f>
        <v>03/01/2014</v>
      </c>
      <c r="B23">
        <f>VLOOKUP(A23,Apple!A:E,2,FALSE)</f>
        <v>19.170000000000002</v>
      </c>
      <c r="C23">
        <f>VLOOKUP(A23,Microsoft!A:E,2,FALSE)</f>
        <v>40.99</v>
      </c>
      <c r="D23">
        <f>VLOOKUP(A23,Google!A:E,2,FALSE)</f>
        <v>27.89</v>
      </c>
      <c r="E23">
        <f>VLOOKUP(A23,Amazon!A:E,2,FALSE)</f>
        <v>16.82</v>
      </c>
      <c r="F23">
        <f>VLOOKUP(A23,NVIDIA!A:E,2,FALSE)</f>
        <v>0.45</v>
      </c>
      <c r="G23">
        <f>VLOOKUP(A23,'Meta(Facebook)'!A:E,2,FALSE)</f>
        <v>60.24</v>
      </c>
      <c r="H23" s="2">
        <f>VLOOKUP(A23,'Samsung 005930'!A:E,2,FALSE)</f>
        <v>26860</v>
      </c>
      <c r="I23">
        <f>VLOOKUP(A23,Tesla!A:E,2,FALSE)</f>
        <v>13.9</v>
      </c>
      <c r="J23">
        <f>VLOOKUP(A23,Intel!A:E,2,FALSE)</f>
        <v>25.81</v>
      </c>
      <c r="K23">
        <f>VLOOKUP(A23,Tencent!A:E,2,FALSE)</f>
        <v>99.45</v>
      </c>
    </row>
    <row r="24" spans="1:11" x14ac:dyDescent="0.5">
      <c r="A24" s="3" t="str" cm="1">
        <f t="array" ref="A24">INDEX(Tencent!$A$2:$A$173,ROWS(Tencent!$A$2:$A$173)-ROW(A23)+1)</f>
        <v>04/01/2014</v>
      </c>
      <c r="B24">
        <f>VLOOKUP(A24,Apple!A:E,2,FALSE)</f>
        <v>21.07</v>
      </c>
      <c r="C24">
        <f>VLOOKUP(A24,Microsoft!A:E,2,FALSE)</f>
        <v>40.4</v>
      </c>
      <c r="D24">
        <f>VLOOKUP(A24,Google!A:E,2,FALSE)</f>
        <v>26.74</v>
      </c>
      <c r="E24">
        <f>VLOOKUP(A24,Amazon!A:E,2,FALSE)</f>
        <v>15.21</v>
      </c>
      <c r="F24">
        <f>VLOOKUP(A24,NVIDIA!A:E,2,FALSE)</f>
        <v>0.46</v>
      </c>
      <c r="G24">
        <f>VLOOKUP(A24,'Meta(Facebook)'!A:E,2,FALSE)</f>
        <v>59.78</v>
      </c>
      <c r="H24" s="2">
        <f>VLOOKUP(A24,'Samsung 005930'!A:E,2,FALSE)</f>
        <v>26860</v>
      </c>
      <c r="I24">
        <f>VLOOKUP(A24,Tesla!A:E,2,FALSE)</f>
        <v>13.86</v>
      </c>
      <c r="J24">
        <f>VLOOKUP(A24,Intel!A:E,2,FALSE)</f>
        <v>26.69</v>
      </c>
      <c r="K24">
        <f>VLOOKUP(A24,Tencent!A:E,2,FALSE)</f>
        <v>89.07</v>
      </c>
    </row>
    <row r="25" spans="1:11" x14ac:dyDescent="0.5">
      <c r="A25" s="3" t="str" cm="1">
        <f t="array" ref="A25">INDEX(Tencent!$A$2:$A$173,ROWS(Tencent!$A$2:$A$173)-ROW(A24)+1)</f>
        <v>05/01/2014</v>
      </c>
      <c r="B25">
        <f>VLOOKUP(A25,Apple!A:E,2,FALSE)</f>
        <v>22.61</v>
      </c>
      <c r="C25">
        <f>VLOOKUP(A25,Microsoft!A:E,2,FALSE)</f>
        <v>40.94</v>
      </c>
      <c r="D25">
        <f>VLOOKUP(A25,Google!A:E,2,FALSE)</f>
        <v>28.58</v>
      </c>
      <c r="E25">
        <f>VLOOKUP(A25,Amazon!A:E,2,FALSE)</f>
        <v>15.63</v>
      </c>
      <c r="F25">
        <f>VLOOKUP(A25,NVIDIA!A:E,2,FALSE)</f>
        <v>0.47</v>
      </c>
      <c r="G25">
        <f>VLOOKUP(A25,'Meta(Facebook)'!A:E,2,FALSE)</f>
        <v>63.3</v>
      </c>
      <c r="H25" s="2">
        <f>VLOOKUP(A25,'Samsung 005930'!A:E,2,FALSE)</f>
        <v>28860</v>
      </c>
      <c r="I25">
        <f>VLOOKUP(A25,Tesla!A:E,2,FALSE)</f>
        <v>13.85</v>
      </c>
      <c r="J25">
        <f>VLOOKUP(A25,Intel!A:E,2,FALSE)</f>
        <v>27.32</v>
      </c>
      <c r="K25">
        <f>VLOOKUP(A25,Tencent!A:E,2,FALSE)</f>
        <v>100.74</v>
      </c>
    </row>
    <row r="26" spans="1:11" x14ac:dyDescent="0.5">
      <c r="A26" s="3" t="str" cm="1">
        <f t="array" ref="A26">INDEX(Tencent!$A$2:$A$173,ROWS(Tencent!$A$2:$A$173)-ROW(A25)+1)</f>
        <v>06/01/2014</v>
      </c>
      <c r="B26">
        <f>VLOOKUP(A26,Apple!A:E,2,FALSE)</f>
        <v>23.23</v>
      </c>
      <c r="C26">
        <f>VLOOKUP(A26,Microsoft!A:E,2,FALSE)</f>
        <v>41.7</v>
      </c>
      <c r="D26">
        <f>VLOOKUP(A26,Google!A:E,2,FALSE)</f>
        <v>29.23</v>
      </c>
      <c r="E26">
        <f>VLOOKUP(A26,Amazon!A:E,2,FALSE)</f>
        <v>16.239999999999998</v>
      </c>
      <c r="F26">
        <f>VLOOKUP(A26,NVIDIA!A:E,2,FALSE)</f>
        <v>0.46</v>
      </c>
      <c r="G26">
        <f>VLOOKUP(A26,'Meta(Facebook)'!A:E,2,FALSE)</f>
        <v>67.290000000000006</v>
      </c>
      <c r="H26" s="2">
        <f>VLOOKUP(A26,'Samsung 005930'!A:E,2,FALSE)</f>
        <v>26440</v>
      </c>
      <c r="I26">
        <f>VLOOKUP(A26,Tesla!A:E,2,FALSE)</f>
        <v>16</v>
      </c>
      <c r="J26">
        <f>VLOOKUP(A26,Intel!A:E,2,FALSE)</f>
        <v>30.9</v>
      </c>
      <c r="K26">
        <f>VLOOKUP(A26,Tencent!A:E,2,FALSE)</f>
        <v>108.95</v>
      </c>
    </row>
    <row r="27" spans="1:11" x14ac:dyDescent="0.5">
      <c r="A27" s="3" t="str" cm="1">
        <f t="array" ref="A27">INDEX(Tencent!$A$2:$A$173,ROWS(Tencent!$A$2:$A$173)-ROW(A26)+1)</f>
        <v>07/01/2014</v>
      </c>
      <c r="B27">
        <f>VLOOKUP(A27,Apple!A:E,2,FALSE)</f>
        <v>23.9</v>
      </c>
      <c r="C27">
        <f>VLOOKUP(A27,Microsoft!A:E,2,FALSE)</f>
        <v>43.16</v>
      </c>
      <c r="D27">
        <f>VLOOKUP(A27,Google!A:E,2,FALSE)</f>
        <v>28.98</v>
      </c>
      <c r="E27">
        <f>VLOOKUP(A27,Amazon!A:E,2,FALSE)</f>
        <v>15.65</v>
      </c>
      <c r="F27">
        <f>VLOOKUP(A27,NVIDIA!A:E,2,FALSE)</f>
        <v>0.44</v>
      </c>
      <c r="G27">
        <f>VLOOKUP(A27,'Meta(Facebook)'!A:E,2,FALSE)</f>
        <v>72.650000000000006</v>
      </c>
      <c r="H27" s="2">
        <f>VLOOKUP(A27,'Samsung 005930'!A:E,2,FALSE)</f>
        <v>26860</v>
      </c>
      <c r="I27">
        <f>VLOOKUP(A27,Tesla!A:E,2,FALSE)</f>
        <v>14.89</v>
      </c>
      <c r="J27">
        <f>VLOOKUP(A27,Intel!A:E,2,FALSE)</f>
        <v>33.89</v>
      </c>
      <c r="K27">
        <f>VLOOKUP(A27,Tencent!A:E,2,FALSE)</f>
        <v>118.35</v>
      </c>
    </row>
    <row r="28" spans="1:11" x14ac:dyDescent="0.5">
      <c r="A28" s="3" t="str" cm="1">
        <f t="array" ref="A28">INDEX(Tencent!$A$2:$A$173,ROWS(Tencent!$A$2:$A$173)-ROW(A27)+1)</f>
        <v>08/01/2014</v>
      </c>
      <c r="B28">
        <f>VLOOKUP(A28,Apple!A:E,2,FALSE)</f>
        <v>25.62</v>
      </c>
      <c r="C28">
        <f>VLOOKUP(A28,Microsoft!A:E,2,FALSE)</f>
        <v>45.43</v>
      </c>
      <c r="D28">
        <f>VLOOKUP(A28,Google!A:E,2,FALSE)</f>
        <v>29.12</v>
      </c>
      <c r="E28">
        <f>VLOOKUP(A28,Amazon!A:E,2,FALSE)</f>
        <v>16.95</v>
      </c>
      <c r="F28">
        <f>VLOOKUP(A28,NVIDIA!A:E,2,FALSE)</f>
        <v>0.49</v>
      </c>
      <c r="G28">
        <f>VLOOKUP(A28,'Meta(Facebook)'!A:E,2,FALSE)</f>
        <v>74.819999999999993</v>
      </c>
      <c r="H28" s="2">
        <f>VLOOKUP(A28,'Samsung 005930'!A:E,2,FALSE)</f>
        <v>24680</v>
      </c>
      <c r="I28">
        <f>VLOOKUP(A28,Tesla!A:E,2,FALSE)</f>
        <v>17.98</v>
      </c>
      <c r="J28">
        <f>VLOOKUP(A28,Intel!A:E,2,FALSE)</f>
        <v>34.92</v>
      </c>
      <c r="K28">
        <f>VLOOKUP(A28,Tencent!A:E,2,FALSE)</f>
        <v>116.6</v>
      </c>
    </row>
    <row r="29" spans="1:11" x14ac:dyDescent="0.5">
      <c r="A29" s="3" t="str" cm="1">
        <f t="array" ref="A29">INDEX(Tencent!$A$2:$A$173,ROWS(Tencent!$A$2:$A$173)-ROW(A28)+1)</f>
        <v>09/01/2014</v>
      </c>
      <c r="B29">
        <f>VLOOKUP(A29,Apple!A:E,2,FALSE)</f>
        <v>25.19</v>
      </c>
      <c r="C29">
        <f>VLOOKUP(A29,Microsoft!A:E,2,FALSE)</f>
        <v>46.36</v>
      </c>
      <c r="D29">
        <f>VLOOKUP(A29,Google!A:E,2,FALSE)</f>
        <v>29.42</v>
      </c>
      <c r="E29">
        <f>VLOOKUP(A29,Amazon!A:E,2,FALSE)</f>
        <v>16.12</v>
      </c>
      <c r="F29">
        <f>VLOOKUP(A29,NVIDIA!A:E,2,FALSE)</f>
        <v>0.46</v>
      </c>
      <c r="G29">
        <f>VLOOKUP(A29,'Meta(Facebook)'!A:E,2,FALSE)</f>
        <v>79.040000000000006</v>
      </c>
      <c r="H29" s="2">
        <f>VLOOKUP(A29,'Samsung 005930'!A:E,2,FALSE)</f>
        <v>23680</v>
      </c>
      <c r="I29">
        <f>VLOOKUP(A29,Tesla!A:E,2,FALSE)</f>
        <v>16.18</v>
      </c>
      <c r="J29">
        <f>VLOOKUP(A29,Intel!A:E,2,FALSE)</f>
        <v>34.82</v>
      </c>
      <c r="K29">
        <f>VLOOKUP(A29,Tencent!A:E,2,FALSE)</f>
        <v>106.46</v>
      </c>
    </row>
    <row r="30" spans="1:11" x14ac:dyDescent="0.5">
      <c r="A30" s="3" t="str" cm="1">
        <f t="array" ref="A30">INDEX(Tencent!$A$2:$A$173,ROWS(Tencent!$A$2:$A$173)-ROW(A29)+1)</f>
        <v>10/01/2014</v>
      </c>
      <c r="B30">
        <f>VLOOKUP(A30,Apple!A:E,2,FALSE)</f>
        <v>27</v>
      </c>
      <c r="C30">
        <f>VLOOKUP(A30,Microsoft!A:E,2,FALSE)</f>
        <v>46.95</v>
      </c>
      <c r="D30">
        <f>VLOOKUP(A30,Google!A:E,2,FALSE)</f>
        <v>28.39</v>
      </c>
      <c r="E30">
        <f>VLOOKUP(A30,Amazon!A:E,2,FALSE)</f>
        <v>15.27</v>
      </c>
      <c r="F30">
        <f>VLOOKUP(A30,NVIDIA!A:E,2,FALSE)</f>
        <v>0.49</v>
      </c>
      <c r="G30">
        <f>VLOOKUP(A30,'Meta(Facebook)'!A:E,2,FALSE)</f>
        <v>74.989999999999995</v>
      </c>
      <c r="H30" s="2">
        <f>VLOOKUP(A30,'Samsung 005930'!A:E,2,FALSE)</f>
        <v>24880</v>
      </c>
      <c r="I30">
        <f>VLOOKUP(A30,Tesla!A:E,2,FALSE)</f>
        <v>16.11</v>
      </c>
      <c r="J30">
        <f>VLOOKUP(A30,Intel!A:E,2,FALSE)</f>
        <v>34.01</v>
      </c>
      <c r="K30">
        <f>VLOOKUP(A30,Tencent!A:E,2,FALSE)</f>
        <v>113.92</v>
      </c>
    </row>
    <row r="31" spans="1:11" x14ac:dyDescent="0.5">
      <c r="A31" s="3" t="str" cm="1">
        <f t="array" ref="A31">INDEX(Tencent!$A$2:$A$173,ROWS(Tencent!$A$2:$A$173)-ROW(A30)+1)</f>
        <v>11/01/2014</v>
      </c>
      <c r="B31">
        <f>VLOOKUP(A31,Apple!A:E,2,FALSE)</f>
        <v>29.73</v>
      </c>
      <c r="C31">
        <f>VLOOKUP(A31,Microsoft!A:E,2,FALSE)</f>
        <v>47.81</v>
      </c>
      <c r="D31">
        <f>VLOOKUP(A31,Google!A:E,2,FALSE)</f>
        <v>27.45</v>
      </c>
      <c r="E31">
        <f>VLOOKUP(A31,Amazon!A:E,2,FALSE)</f>
        <v>16.93</v>
      </c>
      <c r="F31">
        <f>VLOOKUP(A31,NVIDIA!A:E,2,FALSE)</f>
        <v>0.52</v>
      </c>
      <c r="G31">
        <f>VLOOKUP(A31,'Meta(Facebook)'!A:E,2,FALSE)</f>
        <v>77.7</v>
      </c>
      <c r="H31" s="2">
        <f>VLOOKUP(A31,'Samsung 005930'!A:E,2,FALSE)</f>
        <v>25740</v>
      </c>
      <c r="I31">
        <f>VLOOKUP(A31,Tesla!A:E,2,FALSE)</f>
        <v>16.3</v>
      </c>
      <c r="J31">
        <f>VLOOKUP(A31,Intel!A:E,2,FALSE)</f>
        <v>37.25</v>
      </c>
      <c r="K31">
        <f>VLOOKUP(A31,Tencent!A:E,2,FALSE)</f>
        <v>114.29</v>
      </c>
    </row>
    <row r="32" spans="1:11" x14ac:dyDescent="0.5">
      <c r="A32" s="3" t="str" cm="1">
        <f t="array" ref="A32">INDEX(Tencent!$A$2:$A$173,ROWS(Tencent!$A$2:$A$173)-ROW(A31)+1)</f>
        <v>12/01/2014</v>
      </c>
      <c r="B32">
        <f>VLOOKUP(A32,Apple!A:E,2,FALSE)</f>
        <v>27.59</v>
      </c>
      <c r="C32">
        <f>VLOOKUP(A32,Microsoft!A:E,2,FALSE)</f>
        <v>46.45</v>
      </c>
      <c r="D32">
        <f>VLOOKUP(A32,Google!A:E,2,FALSE)</f>
        <v>26.53</v>
      </c>
      <c r="E32">
        <f>VLOOKUP(A32,Amazon!A:E,2,FALSE)</f>
        <v>15.52</v>
      </c>
      <c r="F32">
        <f>VLOOKUP(A32,NVIDIA!A:E,2,FALSE)</f>
        <v>0.5</v>
      </c>
      <c r="G32">
        <f>VLOOKUP(A32,'Meta(Facebook)'!A:E,2,FALSE)</f>
        <v>78.02</v>
      </c>
      <c r="H32" s="2">
        <f>VLOOKUP(A32,'Samsung 005930'!A:E,2,FALSE)</f>
        <v>26540</v>
      </c>
      <c r="I32">
        <f>VLOOKUP(A32,Tesla!A:E,2,FALSE)</f>
        <v>14.83</v>
      </c>
      <c r="J32">
        <f>VLOOKUP(A32,Intel!A:E,2,FALSE)</f>
        <v>36.29</v>
      </c>
      <c r="K32">
        <f>VLOOKUP(A32,Tencent!A:E,2,FALSE)</f>
        <v>103.69</v>
      </c>
    </row>
    <row r="33" spans="1:11" x14ac:dyDescent="0.5">
      <c r="A33" s="3" t="str" cm="1">
        <f t="array" ref="A33">INDEX(Tencent!$A$2:$A$173,ROWS(Tencent!$A$2:$A$173)-ROW(A32)+1)</f>
        <v>01/01/2015</v>
      </c>
      <c r="B33">
        <f>VLOOKUP(A33,Apple!A:E,2,FALSE)</f>
        <v>29.29</v>
      </c>
      <c r="C33">
        <f>VLOOKUP(A33,Microsoft!A:E,2,FALSE)</f>
        <v>40.4</v>
      </c>
      <c r="D33">
        <f>VLOOKUP(A33,Google!A:E,2,FALSE)</f>
        <v>26.88</v>
      </c>
      <c r="E33">
        <f>VLOOKUP(A33,Amazon!A:E,2,FALSE)</f>
        <v>17.73</v>
      </c>
      <c r="F33">
        <f>VLOOKUP(A33,NVIDIA!A:E,2,FALSE)</f>
        <v>0.48</v>
      </c>
      <c r="G33">
        <f>VLOOKUP(A33,'Meta(Facebook)'!A:E,2,FALSE)</f>
        <v>75.91</v>
      </c>
      <c r="H33" s="2">
        <f>VLOOKUP(A33,'Samsung 005930'!A:E,2,FALSE)</f>
        <v>27300</v>
      </c>
      <c r="I33">
        <f>VLOOKUP(A33,Tesla!A:E,2,FALSE)</f>
        <v>13.57</v>
      </c>
      <c r="J33">
        <f>VLOOKUP(A33,Intel!A:E,2,FALSE)</f>
        <v>33.04</v>
      </c>
      <c r="K33">
        <f>VLOOKUP(A33,Tencent!A:E,2,FALSE)</f>
        <v>121.67</v>
      </c>
    </row>
    <row r="34" spans="1:11" x14ac:dyDescent="0.5">
      <c r="A34" s="3" t="str" cm="1">
        <f t="array" ref="A34">INDEX(Tencent!$A$2:$A$173,ROWS(Tencent!$A$2:$A$173)-ROW(A33)+1)</f>
        <v>02/01/2015</v>
      </c>
      <c r="B34">
        <f>VLOOKUP(A34,Apple!A:E,2,FALSE)</f>
        <v>32.119999999999997</v>
      </c>
      <c r="C34">
        <f>VLOOKUP(A34,Microsoft!A:E,2,FALSE)</f>
        <v>43.85</v>
      </c>
      <c r="D34">
        <f>VLOOKUP(A34,Google!A:E,2,FALSE)</f>
        <v>28.13</v>
      </c>
      <c r="E34">
        <f>VLOOKUP(A34,Amazon!A:E,2,FALSE)</f>
        <v>19.010000000000002</v>
      </c>
      <c r="F34">
        <f>VLOOKUP(A34,NVIDIA!A:E,2,FALSE)</f>
        <v>0.55000000000000004</v>
      </c>
      <c r="G34">
        <f>VLOOKUP(A34,'Meta(Facebook)'!A:E,2,FALSE)</f>
        <v>78.97</v>
      </c>
      <c r="H34" s="2">
        <f>VLOOKUP(A34,'Samsung 005930'!A:E,2,FALSE)</f>
        <v>27140</v>
      </c>
      <c r="I34">
        <f>VLOOKUP(A34,Tesla!A:E,2,FALSE)</f>
        <v>13.56</v>
      </c>
      <c r="J34">
        <f>VLOOKUP(A34,Intel!A:E,2,FALSE)</f>
        <v>33.25</v>
      </c>
      <c r="K34">
        <f>VLOOKUP(A34,Tencent!A:E,2,FALSE)</f>
        <v>125.26</v>
      </c>
    </row>
    <row r="35" spans="1:11" x14ac:dyDescent="0.5">
      <c r="A35" s="3" t="str" cm="1">
        <f t="array" ref="A35">INDEX(Tencent!$A$2:$A$173,ROWS(Tencent!$A$2:$A$173)-ROW(A34)+1)</f>
        <v>03/01/2015</v>
      </c>
      <c r="B35">
        <f>VLOOKUP(A35,Apple!A:E,2,FALSE)</f>
        <v>31.11</v>
      </c>
      <c r="C35">
        <f>VLOOKUP(A35,Microsoft!A:E,2,FALSE)</f>
        <v>40.659999999999997</v>
      </c>
      <c r="D35">
        <f>VLOOKUP(A35,Google!A:E,2,FALSE)</f>
        <v>27.74</v>
      </c>
      <c r="E35">
        <f>VLOOKUP(A35,Amazon!A:E,2,FALSE)</f>
        <v>18.600000000000001</v>
      </c>
      <c r="F35">
        <f>VLOOKUP(A35,NVIDIA!A:E,2,FALSE)</f>
        <v>0.52</v>
      </c>
      <c r="G35">
        <f>VLOOKUP(A35,'Meta(Facebook)'!A:E,2,FALSE)</f>
        <v>82.21</v>
      </c>
      <c r="H35" s="2">
        <f>VLOOKUP(A35,'Samsung 005930'!A:E,2,FALSE)</f>
        <v>28820</v>
      </c>
      <c r="I35">
        <f>VLOOKUP(A35,Tesla!A:E,2,FALSE)</f>
        <v>12.58</v>
      </c>
      <c r="J35">
        <f>VLOOKUP(A35,Intel!A:E,2,FALSE)</f>
        <v>31.27</v>
      </c>
      <c r="K35">
        <f>VLOOKUP(A35,Tencent!A:E,2,FALSE)</f>
        <v>135.68</v>
      </c>
    </row>
    <row r="36" spans="1:11" x14ac:dyDescent="0.5">
      <c r="A36" s="3" t="str" cm="1">
        <f t="array" ref="A36">INDEX(Tencent!$A$2:$A$173,ROWS(Tencent!$A$2:$A$173)-ROW(A35)+1)</f>
        <v>04/01/2015</v>
      </c>
      <c r="B36">
        <f>VLOOKUP(A36,Apple!A:E,2,FALSE)</f>
        <v>31.29</v>
      </c>
      <c r="C36">
        <f>VLOOKUP(A36,Microsoft!A:E,2,FALSE)</f>
        <v>48.64</v>
      </c>
      <c r="D36">
        <f>VLOOKUP(A36,Google!A:E,2,FALSE)</f>
        <v>27.44</v>
      </c>
      <c r="E36">
        <f>VLOOKUP(A36,Amazon!A:E,2,FALSE)</f>
        <v>21.09</v>
      </c>
      <c r="F36">
        <f>VLOOKUP(A36,NVIDIA!A:E,2,FALSE)</f>
        <v>0.55000000000000004</v>
      </c>
      <c r="G36">
        <f>VLOOKUP(A36,'Meta(Facebook)'!A:E,2,FALSE)</f>
        <v>78.77</v>
      </c>
      <c r="H36" s="2">
        <f>VLOOKUP(A36,'Samsung 005930'!A:E,2,FALSE)</f>
        <v>28200</v>
      </c>
      <c r="I36">
        <f>VLOOKUP(A36,Tesla!A:E,2,FALSE)</f>
        <v>15.07</v>
      </c>
      <c r="J36">
        <f>VLOOKUP(A36,Intel!A:E,2,FALSE)</f>
        <v>32.549999999999997</v>
      </c>
      <c r="K36">
        <f>VLOOKUP(A36,Tencent!A:E,2,FALSE)</f>
        <v>148.30000000000001</v>
      </c>
    </row>
    <row r="37" spans="1:11" x14ac:dyDescent="0.5">
      <c r="A37" s="3" t="str" cm="1">
        <f t="array" ref="A37">INDEX(Tencent!$A$2:$A$173,ROWS(Tencent!$A$2:$A$173)-ROW(A36)+1)</f>
        <v>05/01/2015</v>
      </c>
      <c r="B37">
        <f>VLOOKUP(A37,Apple!A:E,2,FALSE)</f>
        <v>32.57</v>
      </c>
      <c r="C37">
        <f>VLOOKUP(A37,Microsoft!A:E,2,FALSE)</f>
        <v>46.86</v>
      </c>
      <c r="D37">
        <f>VLOOKUP(A37,Google!A:E,2,FALSE)</f>
        <v>27.27</v>
      </c>
      <c r="E37">
        <f>VLOOKUP(A37,Amazon!A:E,2,FALSE)</f>
        <v>21.46</v>
      </c>
      <c r="F37">
        <f>VLOOKUP(A37,NVIDIA!A:E,2,FALSE)</f>
        <v>0.55000000000000004</v>
      </c>
      <c r="G37">
        <f>VLOOKUP(A37,'Meta(Facebook)'!A:E,2,FALSE)</f>
        <v>79.19</v>
      </c>
      <c r="H37" s="2">
        <f>VLOOKUP(A37,'Samsung 005930'!A:E,2,FALSE)</f>
        <v>26140</v>
      </c>
      <c r="I37">
        <f>VLOOKUP(A37,Tesla!A:E,2,FALSE)</f>
        <v>16.72</v>
      </c>
      <c r="J37">
        <f>VLOOKUP(A37,Intel!A:E,2,FALSE)</f>
        <v>34.46</v>
      </c>
      <c r="K37">
        <f>VLOOKUP(A37,Tencent!A:E,2,FALSE)</f>
        <v>143.51</v>
      </c>
    </row>
    <row r="38" spans="1:11" x14ac:dyDescent="0.5">
      <c r="A38" s="3" t="str" cm="1">
        <f t="array" ref="A38">INDEX(Tencent!$A$2:$A$173,ROWS(Tencent!$A$2:$A$173)-ROW(A37)+1)</f>
        <v>06/01/2015</v>
      </c>
      <c r="B38">
        <f>VLOOKUP(A38,Apple!A:E,2,FALSE)</f>
        <v>31.36</v>
      </c>
      <c r="C38">
        <f>VLOOKUP(A38,Microsoft!A:E,2,FALSE)</f>
        <v>44.15</v>
      </c>
      <c r="D38">
        <f>VLOOKUP(A38,Google!A:E,2,FALSE)</f>
        <v>27</v>
      </c>
      <c r="E38">
        <f>VLOOKUP(A38,Amazon!A:E,2,FALSE)</f>
        <v>21.7</v>
      </c>
      <c r="F38">
        <f>VLOOKUP(A38,NVIDIA!A:E,2,FALSE)</f>
        <v>0.5</v>
      </c>
      <c r="G38">
        <f>VLOOKUP(A38,'Meta(Facebook)'!A:E,2,FALSE)</f>
        <v>85.76</v>
      </c>
      <c r="H38" s="2">
        <f>VLOOKUP(A38,'Samsung 005930'!A:E,2,FALSE)</f>
        <v>25360</v>
      </c>
      <c r="I38">
        <f>VLOOKUP(A38,Tesla!A:E,2,FALSE)</f>
        <v>17.88</v>
      </c>
      <c r="J38">
        <f>VLOOKUP(A38,Intel!A:E,2,FALSE)</f>
        <v>30.41</v>
      </c>
      <c r="K38">
        <f>VLOOKUP(A38,Tencent!A:E,2,FALSE)</f>
        <v>142.59</v>
      </c>
    </row>
    <row r="39" spans="1:11" x14ac:dyDescent="0.5">
      <c r="A39" s="3" t="str" cm="1">
        <f t="array" ref="A39">INDEX(Tencent!$A$2:$A$173,ROWS(Tencent!$A$2:$A$173)-ROW(A38)+1)</f>
        <v>07/01/2015</v>
      </c>
      <c r="B39">
        <f>VLOOKUP(A39,Apple!A:E,2,FALSE)</f>
        <v>30.32</v>
      </c>
      <c r="C39">
        <f>VLOOKUP(A39,Microsoft!A:E,2,FALSE)</f>
        <v>46.7</v>
      </c>
      <c r="D39">
        <f>VLOOKUP(A39,Google!A:E,2,FALSE)</f>
        <v>32.880000000000003</v>
      </c>
      <c r="E39">
        <f>VLOOKUP(A39,Amazon!A:E,2,FALSE)</f>
        <v>26.81</v>
      </c>
      <c r="F39">
        <f>VLOOKUP(A39,NVIDIA!A:E,2,FALSE)</f>
        <v>0.5</v>
      </c>
      <c r="G39">
        <f>VLOOKUP(A39,'Meta(Facebook)'!A:E,2,FALSE)</f>
        <v>94.01</v>
      </c>
      <c r="H39" s="2">
        <f>VLOOKUP(A39,'Samsung 005930'!A:E,2,FALSE)</f>
        <v>23700</v>
      </c>
      <c r="I39">
        <f>VLOOKUP(A39,Tesla!A:E,2,FALSE)</f>
        <v>17.739999999999998</v>
      </c>
      <c r="J39">
        <f>VLOOKUP(A39,Intel!A:E,2,FALSE)</f>
        <v>28.95</v>
      </c>
      <c r="K39">
        <f>VLOOKUP(A39,Tencent!A:E,2,FALSE)</f>
        <v>133.37</v>
      </c>
    </row>
    <row r="40" spans="1:11" x14ac:dyDescent="0.5">
      <c r="A40" s="3" t="str" cm="1">
        <f t="array" ref="A40">INDEX(Tencent!$A$2:$A$173,ROWS(Tencent!$A$2:$A$173)-ROW(A39)+1)</f>
        <v>08/01/2015</v>
      </c>
      <c r="B40">
        <f>VLOOKUP(A40,Apple!A:E,2,FALSE)</f>
        <v>28.19</v>
      </c>
      <c r="C40">
        <f>VLOOKUP(A40,Microsoft!A:E,2,FALSE)</f>
        <v>43.52</v>
      </c>
      <c r="D40">
        <f>VLOOKUP(A40,Google!A:E,2,FALSE)</f>
        <v>32.39</v>
      </c>
      <c r="E40">
        <f>VLOOKUP(A40,Amazon!A:E,2,FALSE)</f>
        <v>25.64</v>
      </c>
      <c r="F40">
        <f>VLOOKUP(A40,NVIDIA!A:E,2,FALSE)</f>
        <v>0.56000000000000005</v>
      </c>
      <c r="G40">
        <f>VLOOKUP(A40,'Meta(Facebook)'!A:E,2,FALSE)</f>
        <v>89.43</v>
      </c>
      <c r="H40" s="2">
        <f>VLOOKUP(A40,'Samsung 005930'!A:E,2,FALSE)</f>
        <v>21780</v>
      </c>
      <c r="I40">
        <f>VLOOKUP(A40,Tesla!A:E,2,FALSE)</f>
        <v>16.600000000000001</v>
      </c>
      <c r="J40">
        <f>VLOOKUP(A40,Intel!A:E,2,FALSE)</f>
        <v>28.54</v>
      </c>
      <c r="K40">
        <f>VLOOKUP(A40,Tencent!A:E,2,FALSE)</f>
        <v>121.48</v>
      </c>
    </row>
    <row r="41" spans="1:11" x14ac:dyDescent="0.5">
      <c r="A41" s="3" t="str" cm="1">
        <f t="array" ref="A41">INDEX(Tencent!$A$2:$A$173,ROWS(Tencent!$A$2:$A$173)-ROW(A40)+1)</f>
        <v>09/01/2015</v>
      </c>
      <c r="B41">
        <f>VLOOKUP(A41,Apple!A:E,2,FALSE)</f>
        <v>27.57</v>
      </c>
      <c r="C41">
        <f>VLOOKUP(A41,Microsoft!A:E,2,FALSE)</f>
        <v>44.26</v>
      </c>
      <c r="D41">
        <f>VLOOKUP(A41,Google!A:E,2,FALSE)</f>
        <v>31.92</v>
      </c>
      <c r="E41">
        <f>VLOOKUP(A41,Amazon!A:E,2,FALSE)</f>
        <v>25.59</v>
      </c>
      <c r="F41">
        <f>VLOOKUP(A41,NVIDIA!A:E,2,FALSE)</f>
        <v>0.62</v>
      </c>
      <c r="G41">
        <f>VLOOKUP(A41,'Meta(Facebook)'!A:E,2,FALSE)</f>
        <v>89.9</v>
      </c>
      <c r="H41" s="2">
        <f>VLOOKUP(A41,'Samsung 005930'!A:E,2,FALSE)</f>
        <v>22680</v>
      </c>
      <c r="I41">
        <f>VLOOKUP(A41,Tesla!A:E,2,FALSE)</f>
        <v>16.559999999999999</v>
      </c>
      <c r="J41">
        <f>VLOOKUP(A41,Intel!A:E,2,FALSE)</f>
        <v>30.14</v>
      </c>
      <c r="K41">
        <f>VLOOKUP(A41,Tencent!A:E,2,FALSE)</f>
        <v>119.18</v>
      </c>
    </row>
    <row r="42" spans="1:11" x14ac:dyDescent="0.5">
      <c r="A42" s="3" t="str" cm="1">
        <f t="array" ref="A42">INDEX(Tencent!$A$2:$A$173,ROWS(Tencent!$A$2:$A$173)-ROW(A41)+1)</f>
        <v>10/01/2015</v>
      </c>
      <c r="B42">
        <f>VLOOKUP(A42,Apple!A:E,2,FALSE)</f>
        <v>29.88</v>
      </c>
      <c r="C42">
        <f>VLOOKUP(A42,Microsoft!A:E,2,FALSE)</f>
        <v>52.64</v>
      </c>
      <c r="D42">
        <f>VLOOKUP(A42,Google!A:E,2,FALSE)</f>
        <v>36.869999999999997</v>
      </c>
      <c r="E42">
        <f>VLOOKUP(A42,Amazon!A:E,2,FALSE)</f>
        <v>31.3</v>
      </c>
      <c r="F42">
        <f>VLOOKUP(A42,NVIDIA!A:E,2,FALSE)</f>
        <v>0.71</v>
      </c>
      <c r="G42">
        <f>VLOOKUP(A42,'Meta(Facebook)'!A:E,2,FALSE)</f>
        <v>101.97</v>
      </c>
      <c r="H42" s="2">
        <f>VLOOKUP(A42,'Samsung 005930'!A:E,2,FALSE)</f>
        <v>27440</v>
      </c>
      <c r="I42">
        <f>VLOOKUP(A42,Tesla!A:E,2,FALSE)</f>
        <v>13.8</v>
      </c>
      <c r="J42">
        <f>VLOOKUP(A42,Intel!A:E,2,FALSE)</f>
        <v>33.86</v>
      </c>
      <c r="K42">
        <f>VLOOKUP(A42,Tencent!A:E,2,FALSE)</f>
        <v>135.12</v>
      </c>
    </row>
    <row r="43" spans="1:11" x14ac:dyDescent="0.5">
      <c r="A43" s="3" t="str" cm="1">
        <f t="array" ref="A43">INDEX(Tencent!$A$2:$A$173,ROWS(Tencent!$A$2:$A$173)-ROW(A42)+1)</f>
        <v>11/01/2015</v>
      </c>
      <c r="B43">
        <f>VLOOKUP(A43,Apple!A:E,2,FALSE)</f>
        <v>29.57</v>
      </c>
      <c r="C43">
        <f>VLOOKUP(A43,Microsoft!A:E,2,FALSE)</f>
        <v>54.35</v>
      </c>
      <c r="D43">
        <f>VLOOKUP(A43,Google!A:E,2,FALSE)</f>
        <v>38.14</v>
      </c>
      <c r="E43">
        <f>VLOOKUP(A43,Amazon!A:E,2,FALSE)</f>
        <v>33.24</v>
      </c>
      <c r="F43">
        <f>VLOOKUP(A43,NVIDIA!A:E,2,FALSE)</f>
        <v>0.79</v>
      </c>
      <c r="G43">
        <f>VLOOKUP(A43,'Meta(Facebook)'!A:E,2,FALSE)</f>
        <v>104.24</v>
      </c>
      <c r="H43" s="2">
        <f>VLOOKUP(A43,'Samsung 005930'!A:E,2,FALSE)</f>
        <v>25680</v>
      </c>
      <c r="I43">
        <f>VLOOKUP(A43,Tesla!A:E,2,FALSE)</f>
        <v>15.35</v>
      </c>
      <c r="J43">
        <f>VLOOKUP(A43,Intel!A:E,2,FALSE)</f>
        <v>34.770000000000003</v>
      </c>
      <c r="K43">
        <f>VLOOKUP(A43,Tencent!A:E,2,FALSE)</f>
        <v>142.22</v>
      </c>
    </row>
    <row r="44" spans="1:11" x14ac:dyDescent="0.5">
      <c r="A44" s="3" t="str" cm="1">
        <f t="array" ref="A44">INDEX(Tencent!$A$2:$A$173,ROWS(Tencent!$A$2:$A$173)-ROW(A43)+1)</f>
        <v>12/01/2015</v>
      </c>
      <c r="B44">
        <f>VLOOKUP(A44,Apple!A:E,2,FALSE)</f>
        <v>26.32</v>
      </c>
      <c r="C44">
        <f>VLOOKUP(A44,Microsoft!A:E,2,FALSE)</f>
        <v>55.48</v>
      </c>
      <c r="D44">
        <f>VLOOKUP(A44,Google!A:E,2,FALSE)</f>
        <v>38.9</v>
      </c>
      <c r="E44">
        <f>VLOOKUP(A44,Amazon!A:E,2,FALSE)</f>
        <v>33.79</v>
      </c>
      <c r="F44">
        <f>VLOOKUP(A44,NVIDIA!A:E,2,FALSE)</f>
        <v>0.82</v>
      </c>
      <c r="G44">
        <f>VLOOKUP(A44,'Meta(Facebook)'!A:E,2,FALSE)</f>
        <v>104.66</v>
      </c>
      <c r="H44" s="2">
        <f>VLOOKUP(A44,'Samsung 005930'!A:E,2,FALSE)</f>
        <v>25200</v>
      </c>
      <c r="I44">
        <f>VLOOKUP(A44,Tesla!A:E,2,FALSE)</f>
        <v>16</v>
      </c>
      <c r="J44">
        <f>VLOOKUP(A44,Intel!A:E,2,FALSE)</f>
        <v>34.450000000000003</v>
      </c>
      <c r="K44">
        <f>VLOOKUP(A44,Tencent!A:E,2,FALSE)</f>
        <v>140.56</v>
      </c>
    </row>
    <row r="45" spans="1:11" x14ac:dyDescent="0.5">
      <c r="A45" s="3" t="str" cm="1">
        <f t="array" ref="A45">INDEX(Tencent!$A$2:$A$173,ROWS(Tencent!$A$2:$A$173)-ROW(A44)+1)</f>
        <v>01/01/2016</v>
      </c>
      <c r="B45">
        <f>VLOOKUP(A45,Apple!A:E,2,FALSE)</f>
        <v>24.34</v>
      </c>
      <c r="C45">
        <f>VLOOKUP(A45,Microsoft!A:E,2,FALSE)</f>
        <v>55.09</v>
      </c>
      <c r="D45">
        <f>VLOOKUP(A45,Google!A:E,2,FALSE)</f>
        <v>38.07</v>
      </c>
      <c r="E45">
        <f>VLOOKUP(A45,Amazon!A:E,2,FALSE)</f>
        <v>29.35</v>
      </c>
      <c r="F45">
        <f>VLOOKUP(A45,NVIDIA!A:E,2,FALSE)</f>
        <v>0.73</v>
      </c>
      <c r="G45">
        <f>VLOOKUP(A45,'Meta(Facebook)'!A:E,2,FALSE)</f>
        <v>112.21</v>
      </c>
      <c r="H45" s="2">
        <f>VLOOKUP(A45,'Samsung 005930'!A:E,2,FALSE)</f>
        <v>23000</v>
      </c>
      <c r="I45">
        <f>VLOOKUP(A45,Tesla!A:E,2,FALSE)</f>
        <v>12.75</v>
      </c>
      <c r="J45">
        <f>VLOOKUP(A45,Intel!A:E,2,FALSE)</f>
        <v>31.02</v>
      </c>
      <c r="K45">
        <f>VLOOKUP(A45,Tencent!A:E,2,FALSE)</f>
        <v>133.55000000000001</v>
      </c>
    </row>
    <row r="46" spans="1:11" x14ac:dyDescent="0.5">
      <c r="A46" s="3" t="str" cm="1">
        <f t="array" ref="A46">INDEX(Tencent!$A$2:$A$173,ROWS(Tencent!$A$2:$A$173)-ROW(A45)+1)</f>
        <v>02/01/2016</v>
      </c>
      <c r="B46">
        <f>VLOOKUP(A46,Apple!A:E,2,FALSE)</f>
        <v>24.17</v>
      </c>
      <c r="C46">
        <f>VLOOKUP(A46,Microsoft!A:E,2,FALSE)</f>
        <v>50.88</v>
      </c>
      <c r="D46">
        <f>VLOOKUP(A46,Google!A:E,2,FALSE)</f>
        <v>35.86</v>
      </c>
      <c r="E46">
        <f>VLOOKUP(A46,Amazon!A:E,2,FALSE)</f>
        <v>27.63</v>
      </c>
      <c r="F46">
        <f>VLOOKUP(A46,NVIDIA!A:E,2,FALSE)</f>
        <v>0.78</v>
      </c>
      <c r="G46">
        <f>VLOOKUP(A46,'Meta(Facebook)'!A:E,2,FALSE)</f>
        <v>106.92</v>
      </c>
      <c r="H46" s="2">
        <f>VLOOKUP(A46,'Samsung 005930'!A:E,2,FALSE)</f>
        <v>23560</v>
      </c>
      <c r="I46">
        <f>VLOOKUP(A46,Tesla!A:E,2,FALSE)</f>
        <v>12.8</v>
      </c>
      <c r="J46">
        <f>VLOOKUP(A46,Intel!A:E,2,FALSE)</f>
        <v>29.59</v>
      </c>
      <c r="K46">
        <f>VLOOKUP(A46,Tencent!A:E,2,FALSE)</f>
        <v>130.79</v>
      </c>
    </row>
    <row r="47" spans="1:11" x14ac:dyDescent="0.5">
      <c r="A47" s="3" t="str" cm="1">
        <f t="array" ref="A47">INDEX(Tencent!$A$2:$A$173,ROWS(Tencent!$A$2:$A$173)-ROW(A46)+1)</f>
        <v>03/01/2016</v>
      </c>
      <c r="B47">
        <f>VLOOKUP(A47,Apple!A:E,2,FALSE)</f>
        <v>27.25</v>
      </c>
      <c r="C47">
        <f>VLOOKUP(A47,Microsoft!A:E,2,FALSE)</f>
        <v>55.23</v>
      </c>
      <c r="D47">
        <f>VLOOKUP(A47,Google!A:E,2,FALSE)</f>
        <v>38.15</v>
      </c>
      <c r="E47">
        <f>VLOOKUP(A47,Amazon!A:E,2,FALSE)</f>
        <v>29.68</v>
      </c>
      <c r="F47">
        <f>VLOOKUP(A47,NVIDIA!A:E,2,FALSE)</f>
        <v>0.89</v>
      </c>
      <c r="G47">
        <f>VLOOKUP(A47,'Meta(Facebook)'!A:E,2,FALSE)</f>
        <v>114.1</v>
      </c>
      <c r="H47" s="2">
        <f>VLOOKUP(A47,'Samsung 005930'!A:E,2,FALSE)</f>
        <v>26240</v>
      </c>
      <c r="I47">
        <f>VLOOKUP(A47,Tesla!A:E,2,FALSE)</f>
        <v>15.32</v>
      </c>
      <c r="J47">
        <f>VLOOKUP(A47,Intel!A:E,2,FALSE)</f>
        <v>32.35</v>
      </c>
      <c r="K47">
        <f>VLOOKUP(A47,Tencent!A:E,2,FALSE)</f>
        <v>146</v>
      </c>
    </row>
    <row r="48" spans="1:11" x14ac:dyDescent="0.5">
      <c r="A48" s="3" t="str" cm="1">
        <f t="array" ref="A48">INDEX(Tencent!$A$2:$A$173,ROWS(Tencent!$A$2:$A$173)-ROW(A47)+1)</f>
        <v>04/01/2016</v>
      </c>
      <c r="B48">
        <f>VLOOKUP(A48,Apple!A:E,2,FALSE)</f>
        <v>23.43</v>
      </c>
      <c r="C48">
        <f>VLOOKUP(A48,Microsoft!A:E,2,FALSE)</f>
        <v>49.87</v>
      </c>
      <c r="D48">
        <f>VLOOKUP(A48,Google!A:E,2,FALSE)</f>
        <v>35.39</v>
      </c>
      <c r="E48">
        <f>VLOOKUP(A48,Amazon!A:E,2,FALSE)</f>
        <v>32.979999999999997</v>
      </c>
      <c r="F48">
        <f>VLOOKUP(A48,NVIDIA!A:E,2,FALSE)</f>
        <v>0.89</v>
      </c>
      <c r="G48">
        <f>VLOOKUP(A48,'Meta(Facebook)'!A:E,2,FALSE)</f>
        <v>117.58</v>
      </c>
      <c r="H48" s="2">
        <f>VLOOKUP(A48,'Samsung 005930'!A:E,2,FALSE)</f>
        <v>24900</v>
      </c>
      <c r="I48">
        <f>VLOOKUP(A48,Tesla!A:E,2,FALSE)</f>
        <v>16.05</v>
      </c>
      <c r="J48">
        <f>VLOOKUP(A48,Intel!A:E,2,FALSE)</f>
        <v>30.28</v>
      </c>
      <c r="K48">
        <f>VLOOKUP(A48,Tencent!A:E,2,FALSE)</f>
        <v>146.46</v>
      </c>
    </row>
    <row r="49" spans="1:11" x14ac:dyDescent="0.5">
      <c r="A49" s="3" t="str" cm="1">
        <f t="array" ref="A49">INDEX(Tencent!$A$2:$A$173,ROWS(Tencent!$A$2:$A$173)-ROW(A48)+1)</f>
        <v>05/01/2016</v>
      </c>
      <c r="B49">
        <f>VLOOKUP(A49,Apple!A:E,2,FALSE)</f>
        <v>24.96</v>
      </c>
      <c r="C49">
        <f>VLOOKUP(A49,Microsoft!A:E,2,FALSE)</f>
        <v>53</v>
      </c>
      <c r="D49">
        <f>VLOOKUP(A49,Google!A:E,2,FALSE)</f>
        <v>37.44</v>
      </c>
      <c r="E49">
        <f>VLOOKUP(A49,Amazon!A:E,2,FALSE)</f>
        <v>36.14</v>
      </c>
      <c r="F49">
        <f>VLOOKUP(A49,NVIDIA!A:E,2,FALSE)</f>
        <v>1.17</v>
      </c>
      <c r="G49">
        <f>VLOOKUP(A49,'Meta(Facebook)'!A:E,2,FALSE)</f>
        <v>118.81</v>
      </c>
      <c r="H49" s="2">
        <f>VLOOKUP(A49,'Samsung 005930'!A:E,2,FALSE)</f>
        <v>25840</v>
      </c>
      <c r="I49">
        <f>VLOOKUP(A49,Tesla!A:E,2,FALSE)</f>
        <v>14.88</v>
      </c>
      <c r="J49">
        <f>VLOOKUP(A49,Intel!A:E,2,FALSE)</f>
        <v>31.59</v>
      </c>
      <c r="K49">
        <f>VLOOKUP(A49,Tencent!A:E,2,FALSE)</f>
        <v>159.72999999999999</v>
      </c>
    </row>
    <row r="50" spans="1:11" x14ac:dyDescent="0.5">
      <c r="A50" s="3" t="str" cm="1">
        <f t="array" ref="A50">INDEX(Tencent!$A$2:$A$173,ROWS(Tencent!$A$2:$A$173)-ROW(A49)+1)</f>
        <v>06/01/2016</v>
      </c>
      <c r="B50">
        <f>VLOOKUP(A50,Apple!A:E,2,FALSE)</f>
        <v>23.9</v>
      </c>
      <c r="C50">
        <f>VLOOKUP(A50,Microsoft!A:E,2,FALSE)</f>
        <v>51.17</v>
      </c>
      <c r="D50">
        <f>VLOOKUP(A50,Google!A:E,2,FALSE)</f>
        <v>35.18</v>
      </c>
      <c r="E50">
        <f>VLOOKUP(A50,Amazon!A:E,2,FALSE)</f>
        <v>35.78</v>
      </c>
      <c r="F50">
        <f>VLOOKUP(A50,NVIDIA!A:E,2,FALSE)</f>
        <v>1.18</v>
      </c>
      <c r="G50">
        <f>VLOOKUP(A50,'Meta(Facebook)'!A:E,2,FALSE)</f>
        <v>114.28</v>
      </c>
      <c r="H50" s="2">
        <f>VLOOKUP(A50,'Samsung 005930'!A:E,2,FALSE)</f>
        <v>28500</v>
      </c>
      <c r="I50">
        <f>VLOOKUP(A50,Tesla!A:E,2,FALSE)</f>
        <v>14.15</v>
      </c>
      <c r="J50">
        <f>VLOOKUP(A50,Intel!A:E,2,FALSE)</f>
        <v>32.799999999999997</v>
      </c>
      <c r="K50">
        <f>VLOOKUP(A50,Tencent!A:E,2,FALSE)</f>
        <v>162.31</v>
      </c>
    </row>
    <row r="51" spans="1:11" x14ac:dyDescent="0.5">
      <c r="A51" s="3" t="str" cm="1">
        <f t="array" ref="A51">INDEX(Tencent!$A$2:$A$173,ROWS(Tencent!$A$2:$A$173)-ROW(A50)+1)</f>
        <v>07/01/2016</v>
      </c>
      <c r="B51">
        <f>VLOOKUP(A51,Apple!A:E,2,FALSE)</f>
        <v>26.05</v>
      </c>
      <c r="C51">
        <f>VLOOKUP(A51,Microsoft!A:E,2,FALSE)</f>
        <v>56.68</v>
      </c>
      <c r="D51">
        <f>VLOOKUP(A51,Google!A:E,2,FALSE)</f>
        <v>39.57</v>
      </c>
      <c r="E51">
        <f>VLOOKUP(A51,Amazon!A:E,2,FALSE)</f>
        <v>37.94</v>
      </c>
      <c r="F51">
        <f>VLOOKUP(A51,NVIDIA!A:E,2,FALSE)</f>
        <v>1.43</v>
      </c>
      <c r="G51">
        <f>VLOOKUP(A51,'Meta(Facebook)'!A:E,2,FALSE)</f>
        <v>123.94</v>
      </c>
      <c r="H51" s="2">
        <f>VLOOKUP(A51,'Samsung 005930'!A:E,2,FALSE)</f>
        <v>30780</v>
      </c>
      <c r="I51">
        <f>VLOOKUP(A51,Tesla!A:E,2,FALSE)</f>
        <v>15.65</v>
      </c>
      <c r="J51">
        <f>VLOOKUP(A51,Intel!A:E,2,FALSE)</f>
        <v>34.86</v>
      </c>
      <c r="K51">
        <f>VLOOKUP(A51,Tencent!A:E,2,FALSE)</f>
        <v>171.9</v>
      </c>
    </row>
    <row r="52" spans="1:11" x14ac:dyDescent="0.5">
      <c r="A52" s="3" t="str" cm="1">
        <f t="array" ref="A52">INDEX(Tencent!$A$2:$A$173,ROWS(Tencent!$A$2:$A$173)-ROW(A51)+1)</f>
        <v>08/01/2016</v>
      </c>
      <c r="B52">
        <f>VLOOKUP(A52,Apple!A:E,2,FALSE)</f>
        <v>26.52</v>
      </c>
      <c r="C52">
        <f>VLOOKUP(A52,Microsoft!A:E,2,FALSE)</f>
        <v>57.46</v>
      </c>
      <c r="D52">
        <f>VLOOKUP(A52,Google!A:E,2,FALSE)</f>
        <v>39.49</v>
      </c>
      <c r="E52">
        <f>VLOOKUP(A52,Amazon!A:E,2,FALSE)</f>
        <v>38.46</v>
      </c>
      <c r="F52">
        <f>VLOOKUP(A52,NVIDIA!A:E,2,FALSE)</f>
        <v>1.53</v>
      </c>
      <c r="G52">
        <f>VLOOKUP(A52,'Meta(Facebook)'!A:E,2,FALSE)</f>
        <v>126.12</v>
      </c>
      <c r="H52" s="2">
        <f>VLOOKUP(A52,'Samsung 005930'!A:E,2,FALSE)</f>
        <v>32400</v>
      </c>
      <c r="I52">
        <f>VLOOKUP(A52,Tesla!A:E,2,FALSE)</f>
        <v>14.13</v>
      </c>
      <c r="J52">
        <f>VLOOKUP(A52,Intel!A:E,2,FALSE)</f>
        <v>35.89</v>
      </c>
      <c r="K52">
        <f>VLOOKUP(A52,Tencent!A:E,2,FALSE)</f>
        <v>186</v>
      </c>
    </row>
    <row r="53" spans="1:11" x14ac:dyDescent="0.5">
      <c r="A53" s="3" t="str" cm="1">
        <f t="array" ref="A53">INDEX(Tencent!$A$2:$A$173,ROWS(Tencent!$A$2:$A$173)-ROW(A52)+1)</f>
        <v>09/01/2016</v>
      </c>
      <c r="B53">
        <f>VLOOKUP(A53,Apple!A:E,2,FALSE)</f>
        <v>28.26</v>
      </c>
      <c r="C53">
        <f>VLOOKUP(A53,Microsoft!A:E,2,FALSE)</f>
        <v>57.6</v>
      </c>
      <c r="D53">
        <f>VLOOKUP(A53,Google!A:E,2,FALSE)</f>
        <v>40.200000000000003</v>
      </c>
      <c r="E53">
        <f>VLOOKUP(A53,Amazon!A:E,2,FALSE)</f>
        <v>41.87</v>
      </c>
      <c r="F53">
        <f>VLOOKUP(A53,NVIDIA!A:E,2,FALSE)</f>
        <v>1.71</v>
      </c>
      <c r="G53">
        <f>VLOOKUP(A53,'Meta(Facebook)'!A:E,2,FALSE)</f>
        <v>128.27000000000001</v>
      </c>
      <c r="H53" s="2">
        <f>VLOOKUP(A53,'Samsung 005930'!A:E,2,FALSE)</f>
        <v>31960</v>
      </c>
      <c r="I53">
        <f>VLOOKUP(A53,Tesla!A:E,2,FALSE)</f>
        <v>13.6</v>
      </c>
      <c r="J53">
        <f>VLOOKUP(A53,Intel!A:E,2,FALSE)</f>
        <v>37.75</v>
      </c>
      <c r="K53">
        <f>VLOOKUP(A53,Tencent!A:E,2,FALSE)</f>
        <v>196.32</v>
      </c>
    </row>
    <row r="54" spans="1:11" x14ac:dyDescent="0.5">
      <c r="A54" s="3" t="str" cm="1">
        <f t="array" ref="A54">INDEX(Tencent!$A$2:$A$173,ROWS(Tencent!$A$2:$A$173)-ROW(A53)+1)</f>
        <v>10/01/2016</v>
      </c>
      <c r="B54">
        <f>VLOOKUP(A54,Apple!A:E,2,FALSE)</f>
        <v>28.39</v>
      </c>
      <c r="C54">
        <f>VLOOKUP(A54,Microsoft!A:E,2,FALSE)</f>
        <v>59.92</v>
      </c>
      <c r="D54">
        <f>VLOOKUP(A54,Google!A:E,2,FALSE)</f>
        <v>40.49</v>
      </c>
      <c r="E54">
        <f>VLOOKUP(A54,Amazon!A:E,2,FALSE)</f>
        <v>39.49</v>
      </c>
      <c r="F54">
        <f>VLOOKUP(A54,NVIDIA!A:E,2,FALSE)</f>
        <v>1.78</v>
      </c>
      <c r="G54">
        <f>VLOOKUP(A54,'Meta(Facebook)'!A:E,2,FALSE)</f>
        <v>130.99</v>
      </c>
      <c r="H54" s="2">
        <f>VLOOKUP(A54,'Samsung 005930'!A:E,2,FALSE)</f>
        <v>32780</v>
      </c>
      <c r="I54">
        <f>VLOOKUP(A54,Tesla!A:E,2,FALSE)</f>
        <v>13.18</v>
      </c>
      <c r="J54">
        <f>VLOOKUP(A54,Intel!A:E,2,FALSE)</f>
        <v>34.869999999999997</v>
      </c>
      <c r="K54">
        <f>VLOOKUP(A54,Tencent!A:E,2,FALSE)</f>
        <v>189.69</v>
      </c>
    </row>
    <row r="55" spans="1:11" x14ac:dyDescent="0.5">
      <c r="A55" s="3" t="str" cm="1">
        <f t="array" ref="A55">INDEX(Tencent!$A$2:$A$173,ROWS(Tencent!$A$2:$A$173)-ROW(A54)+1)</f>
        <v>11/01/2016</v>
      </c>
      <c r="B55">
        <f>VLOOKUP(A55,Apple!A:E,2,FALSE)</f>
        <v>27.63</v>
      </c>
      <c r="C55">
        <f>VLOOKUP(A55,Microsoft!A:E,2,FALSE)</f>
        <v>60.26</v>
      </c>
      <c r="D55">
        <f>VLOOKUP(A55,Google!A:E,2,FALSE)</f>
        <v>38.79</v>
      </c>
      <c r="E55">
        <f>VLOOKUP(A55,Amazon!A:E,2,FALSE)</f>
        <v>37.53</v>
      </c>
      <c r="F55">
        <f>VLOOKUP(A55,NVIDIA!A:E,2,FALSE)</f>
        <v>2.31</v>
      </c>
      <c r="G55">
        <f>VLOOKUP(A55,'Meta(Facebook)'!A:E,2,FALSE)</f>
        <v>118.42</v>
      </c>
      <c r="H55" s="2">
        <f>VLOOKUP(A55,'Samsung 005930'!A:E,2,FALSE)</f>
        <v>34920</v>
      </c>
      <c r="I55">
        <f>VLOOKUP(A55,Tesla!A:E,2,FALSE)</f>
        <v>12.63</v>
      </c>
      <c r="J55">
        <f>VLOOKUP(A55,Intel!A:E,2,FALSE)</f>
        <v>34.700000000000003</v>
      </c>
      <c r="K55">
        <f>VLOOKUP(A55,Tencent!A:E,2,FALSE)</f>
        <v>178.54</v>
      </c>
    </row>
    <row r="56" spans="1:11" x14ac:dyDescent="0.5">
      <c r="A56" s="3" t="str" cm="1">
        <f t="array" ref="A56">INDEX(Tencent!$A$2:$A$173,ROWS(Tencent!$A$2:$A$173)-ROW(A55)+1)</f>
        <v>12/01/2016</v>
      </c>
      <c r="B56">
        <f>VLOOKUP(A56,Apple!A:E,2,FALSE)</f>
        <v>28.95</v>
      </c>
      <c r="C56">
        <f>VLOOKUP(A56,Microsoft!A:E,2,FALSE)</f>
        <v>62.14</v>
      </c>
      <c r="D56">
        <f>VLOOKUP(A56,Google!A:E,2,FALSE)</f>
        <v>39.619999999999997</v>
      </c>
      <c r="E56">
        <f>VLOOKUP(A56,Amazon!A:E,2,FALSE)</f>
        <v>37.49</v>
      </c>
      <c r="F56">
        <f>VLOOKUP(A56,NVIDIA!A:E,2,FALSE)</f>
        <v>2.67</v>
      </c>
      <c r="G56">
        <f>VLOOKUP(A56,'Meta(Facebook)'!A:E,2,FALSE)</f>
        <v>115.05</v>
      </c>
      <c r="H56" s="2">
        <f>VLOOKUP(A56,'Samsung 005930'!A:E,2,FALSE)</f>
        <v>36040</v>
      </c>
      <c r="I56">
        <f>VLOOKUP(A56,Tesla!A:E,2,FALSE)</f>
        <v>14.25</v>
      </c>
      <c r="J56">
        <f>VLOOKUP(A56,Intel!A:E,2,FALSE)</f>
        <v>36.270000000000003</v>
      </c>
      <c r="K56">
        <f>VLOOKUP(A56,Tencent!A:E,2,FALSE)</f>
        <v>174.85</v>
      </c>
    </row>
    <row r="57" spans="1:11" x14ac:dyDescent="0.5">
      <c r="A57" s="3" t="str" cm="1">
        <f t="array" ref="A57">INDEX(Tencent!$A$2:$A$173,ROWS(Tencent!$A$2:$A$173)-ROW(A56)+1)</f>
        <v>01/01/2017</v>
      </c>
      <c r="B57">
        <f>VLOOKUP(A57,Apple!A:E,2,FALSE)</f>
        <v>30.34</v>
      </c>
      <c r="C57">
        <f>VLOOKUP(A57,Microsoft!A:E,2,FALSE)</f>
        <v>64.650000000000006</v>
      </c>
      <c r="D57">
        <f>VLOOKUP(A57,Google!A:E,2,FALSE)</f>
        <v>41.01</v>
      </c>
      <c r="E57">
        <f>VLOOKUP(A57,Amazon!A:E,2,FALSE)</f>
        <v>41.17</v>
      </c>
      <c r="F57">
        <f>VLOOKUP(A57,NVIDIA!A:E,2,FALSE)</f>
        <v>2.73</v>
      </c>
      <c r="G57">
        <f>VLOOKUP(A57,'Meta(Facebook)'!A:E,2,FALSE)</f>
        <v>130.32</v>
      </c>
      <c r="H57" s="2">
        <f>VLOOKUP(A57,'Samsung 005930'!A:E,2,FALSE)</f>
        <v>39460</v>
      </c>
      <c r="I57">
        <f>VLOOKUP(A57,Tesla!A:E,2,FALSE)</f>
        <v>16.8</v>
      </c>
      <c r="J57">
        <f>VLOOKUP(A57,Intel!A:E,2,FALSE)</f>
        <v>36.82</v>
      </c>
      <c r="K57">
        <f>VLOOKUP(A57,Tencent!A:E,2,FALSE)</f>
        <v>188.4</v>
      </c>
    </row>
    <row r="58" spans="1:11" x14ac:dyDescent="0.5">
      <c r="A58" s="3" t="str" cm="1">
        <f t="array" ref="A58">INDEX(Tencent!$A$2:$A$173,ROWS(Tencent!$A$2:$A$173)-ROW(A57)+1)</f>
        <v>02/01/2017</v>
      </c>
      <c r="B58">
        <f>VLOOKUP(A58,Apple!A:E,2,FALSE)</f>
        <v>34.25</v>
      </c>
      <c r="C58">
        <f>VLOOKUP(A58,Microsoft!A:E,2,FALSE)</f>
        <v>63.98</v>
      </c>
      <c r="D58">
        <f>VLOOKUP(A58,Google!A:E,2,FALSE)</f>
        <v>42.25</v>
      </c>
      <c r="E58">
        <f>VLOOKUP(A58,Amazon!A:E,2,FALSE)</f>
        <v>42.25</v>
      </c>
      <c r="F58">
        <f>VLOOKUP(A58,NVIDIA!A:E,2,FALSE)</f>
        <v>2.54</v>
      </c>
      <c r="G58">
        <f>VLOOKUP(A58,'Meta(Facebook)'!A:E,2,FALSE)</f>
        <v>135.54</v>
      </c>
      <c r="H58" s="2">
        <f>VLOOKUP(A58,'Samsung 005930'!A:E,2,FALSE)</f>
        <v>38440</v>
      </c>
      <c r="I58">
        <f>VLOOKUP(A58,Tesla!A:E,2,FALSE)</f>
        <v>16.670000000000002</v>
      </c>
      <c r="J58">
        <f>VLOOKUP(A58,Intel!A:E,2,FALSE)</f>
        <v>36.200000000000003</v>
      </c>
      <c r="K58">
        <f>VLOOKUP(A58,Tencent!A:E,2,FALSE)</f>
        <v>190.79</v>
      </c>
    </row>
    <row r="59" spans="1:11" x14ac:dyDescent="0.5">
      <c r="A59" s="3" t="str" cm="1">
        <f t="array" ref="A59">INDEX(Tencent!$A$2:$A$173,ROWS(Tencent!$A$2:$A$173)-ROW(A58)+1)</f>
        <v>03/01/2017</v>
      </c>
      <c r="B59">
        <f>VLOOKUP(A59,Apple!A:E,2,FALSE)</f>
        <v>35.909999999999997</v>
      </c>
      <c r="C59">
        <f>VLOOKUP(A59,Microsoft!A:E,2,FALSE)</f>
        <v>65.86</v>
      </c>
      <c r="D59">
        <f>VLOOKUP(A59,Google!A:E,2,FALSE)</f>
        <v>42.39</v>
      </c>
      <c r="E59">
        <f>VLOOKUP(A59,Amazon!A:E,2,FALSE)</f>
        <v>44.33</v>
      </c>
      <c r="F59">
        <f>VLOOKUP(A59,NVIDIA!A:E,2,FALSE)</f>
        <v>2.72</v>
      </c>
      <c r="G59">
        <f>VLOOKUP(A59,'Meta(Facebook)'!A:E,2,FALSE)</f>
        <v>142.05000000000001</v>
      </c>
      <c r="H59" s="2">
        <f>VLOOKUP(A59,'Samsung 005930'!A:E,2,FALSE)</f>
        <v>41200</v>
      </c>
      <c r="I59">
        <f>VLOOKUP(A59,Tesla!A:E,2,FALSE)</f>
        <v>18.55</v>
      </c>
      <c r="J59">
        <f>VLOOKUP(A59,Intel!A:E,2,FALSE)</f>
        <v>36.07</v>
      </c>
      <c r="K59">
        <f>VLOOKUP(A59,Tencent!A:E,2,FALSE)</f>
        <v>205.36</v>
      </c>
    </row>
    <row r="60" spans="1:11" x14ac:dyDescent="0.5">
      <c r="A60" s="3" t="str" cm="1">
        <f t="array" ref="A60">INDEX(Tencent!$A$2:$A$173,ROWS(Tencent!$A$2:$A$173)-ROW(A59)+1)</f>
        <v>04/01/2017</v>
      </c>
      <c r="B60">
        <f>VLOOKUP(A60,Apple!A:E,2,FALSE)</f>
        <v>35.909999999999997</v>
      </c>
      <c r="C60">
        <f>VLOOKUP(A60,Microsoft!A:E,2,FALSE)</f>
        <v>68.459999999999994</v>
      </c>
      <c r="D60">
        <f>VLOOKUP(A60,Google!A:E,2,FALSE)</f>
        <v>46.23</v>
      </c>
      <c r="E60">
        <f>VLOOKUP(A60,Amazon!A:E,2,FALSE)</f>
        <v>46.25</v>
      </c>
      <c r="F60">
        <f>VLOOKUP(A60,NVIDIA!A:E,2,FALSE)</f>
        <v>2.61</v>
      </c>
      <c r="G60">
        <f>VLOOKUP(A60,'Meta(Facebook)'!A:E,2,FALSE)</f>
        <v>150.25</v>
      </c>
      <c r="H60" s="2">
        <f>VLOOKUP(A60,'Samsung 005930'!A:E,2,FALSE)</f>
        <v>44620</v>
      </c>
      <c r="I60">
        <f>VLOOKUP(A60,Tesla!A:E,2,FALSE)</f>
        <v>20.94</v>
      </c>
      <c r="J60">
        <f>VLOOKUP(A60,Intel!A:E,2,FALSE)</f>
        <v>36.15</v>
      </c>
      <c r="K60">
        <f>VLOOKUP(A60,Tencent!A:E,2,FALSE)</f>
        <v>224.34</v>
      </c>
    </row>
    <row r="61" spans="1:11" x14ac:dyDescent="0.5">
      <c r="A61" s="3" t="str" cm="1">
        <f t="array" ref="A61">INDEX(Tencent!$A$2:$A$173,ROWS(Tencent!$A$2:$A$173)-ROW(A60)+1)</f>
        <v>05/01/2017</v>
      </c>
      <c r="B61">
        <f>VLOOKUP(A61,Apple!A:E,2,FALSE)</f>
        <v>38.19</v>
      </c>
      <c r="C61">
        <f>VLOOKUP(A61,Microsoft!A:E,2,FALSE)</f>
        <v>69.84</v>
      </c>
      <c r="D61">
        <f>VLOOKUP(A61,Google!A:E,2,FALSE)</f>
        <v>49.35</v>
      </c>
      <c r="E61">
        <f>VLOOKUP(A61,Amazon!A:E,2,FALSE)</f>
        <v>49.73</v>
      </c>
      <c r="F61">
        <f>VLOOKUP(A61,NVIDIA!A:E,2,FALSE)</f>
        <v>3.61</v>
      </c>
      <c r="G61">
        <f>VLOOKUP(A61,'Meta(Facebook)'!A:E,2,FALSE)</f>
        <v>151.46</v>
      </c>
      <c r="H61" s="2">
        <f>VLOOKUP(A61,'Samsung 005930'!A:E,2,FALSE)</f>
        <v>44700</v>
      </c>
      <c r="I61">
        <f>VLOOKUP(A61,Tesla!A:E,2,FALSE)</f>
        <v>22.73</v>
      </c>
      <c r="J61">
        <f>VLOOKUP(A61,Intel!A:E,2,FALSE)</f>
        <v>36.11</v>
      </c>
      <c r="K61">
        <f>VLOOKUP(A61,Tencent!A:E,2,FALSE)</f>
        <v>246.65</v>
      </c>
    </row>
    <row r="62" spans="1:11" x14ac:dyDescent="0.5">
      <c r="A62" s="3" t="str" cm="1">
        <f t="array" ref="A62">INDEX(Tencent!$A$2:$A$173,ROWS(Tencent!$A$2:$A$173)-ROW(A61)+1)</f>
        <v>06/01/2017</v>
      </c>
      <c r="B62">
        <f>VLOOKUP(A62,Apple!A:E,2,FALSE)</f>
        <v>36.01</v>
      </c>
      <c r="C62">
        <f>VLOOKUP(A62,Microsoft!A:E,2,FALSE)</f>
        <v>68.930000000000007</v>
      </c>
      <c r="D62">
        <f>VLOOKUP(A62,Google!A:E,2,FALSE)</f>
        <v>46.48</v>
      </c>
      <c r="E62">
        <f>VLOOKUP(A62,Amazon!A:E,2,FALSE)</f>
        <v>48.4</v>
      </c>
      <c r="F62">
        <f>VLOOKUP(A62,NVIDIA!A:E,2,FALSE)</f>
        <v>3.61</v>
      </c>
      <c r="G62">
        <f>VLOOKUP(A62,'Meta(Facebook)'!A:E,2,FALSE)</f>
        <v>150.97999999999999</v>
      </c>
      <c r="H62" s="2">
        <f>VLOOKUP(A62,'Samsung 005930'!A:E,2,FALSE)</f>
        <v>47540</v>
      </c>
      <c r="I62">
        <f>VLOOKUP(A62,Tesla!A:E,2,FALSE)</f>
        <v>24.11</v>
      </c>
      <c r="J62">
        <f>VLOOKUP(A62,Intel!A:E,2,FALSE)</f>
        <v>33.74</v>
      </c>
      <c r="K62">
        <f>VLOOKUP(A62,Tencent!A:E,2,FALSE)</f>
        <v>257.33999999999997</v>
      </c>
    </row>
    <row r="63" spans="1:11" x14ac:dyDescent="0.5">
      <c r="A63" s="3" t="str" cm="1">
        <f t="array" ref="A63">INDEX(Tencent!$A$2:$A$173,ROWS(Tencent!$A$2:$A$173)-ROW(A62)+1)</f>
        <v>07/01/2017</v>
      </c>
      <c r="B63">
        <f>VLOOKUP(A63,Apple!A:E,2,FALSE)</f>
        <v>37.18</v>
      </c>
      <c r="C63">
        <f>VLOOKUP(A63,Microsoft!A:E,2,FALSE)</f>
        <v>72.7</v>
      </c>
      <c r="D63">
        <f>VLOOKUP(A63,Google!A:E,2,FALSE)</f>
        <v>47.28</v>
      </c>
      <c r="E63">
        <f>VLOOKUP(A63,Amazon!A:E,2,FALSE)</f>
        <v>49.39</v>
      </c>
      <c r="F63">
        <f>VLOOKUP(A63,NVIDIA!A:E,2,FALSE)</f>
        <v>4.0599999999999996</v>
      </c>
      <c r="G63">
        <f>VLOOKUP(A63,'Meta(Facebook)'!A:E,2,FALSE)</f>
        <v>169.25</v>
      </c>
      <c r="H63" s="2">
        <f>VLOOKUP(A63,'Samsung 005930'!A:E,2,FALSE)</f>
        <v>48200</v>
      </c>
      <c r="I63">
        <f>VLOOKUP(A63,Tesla!A:E,2,FALSE)</f>
        <v>21.56</v>
      </c>
      <c r="J63">
        <f>VLOOKUP(A63,Intel!A:E,2,FALSE)</f>
        <v>35.47</v>
      </c>
      <c r="K63">
        <f>VLOOKUP(A63,Tencent!A:E,2,FALSE)</f>
        <v>288.86</v>
      </c>
    </row>
    <row r="64" spans="1:11" x14ac:dyDescent="0.5">
      <c r="A64" s="3" t="str" cm="1">
        <f t="array" ref="A64">INDEX(Tencent!$A$2:$A$173,ROWS(Tencent!$A$2:$A$173)-ROW(A63)+1)</f>
        <v>08/01/2017</v>
      </c>
      <c r="B64">
        <f>VLOOKUP(A64,Apple!A:E,2,FALSE)</f>
        <v>41</v>
      </c>
      <c r="C64">
        <f>VLOOKUP(A64,Microsoft!A:E,2,FALSE)</f>
        <v>74.77</v>
      </c>
      <c r="D64">
        <f>VLOOKUP(A64,Google!A:E,2,FALSE)</f>
        <v>47.76</v>
      </c>
      <c r="E64">
        <f>VLOOKUP(A64,Amazon!A:E,2,FALSE)</f>
        <v>49.03</v>
      </c>
      <c r="F64">
        <f>VLOOKUP(A64,NVIDIA!A:E,2,FALSE)</f>
        <v>4.24</v>
      </c>
      <c r="G64">
        <f>VLOOKUP(A64,'Meta(Facebook)'!A:E,2,FALSE)</f>
        <v>171.97</v>
      </c>
      <c r="H64" s="2">
        <f>VLOOKUP(A64,'Samsung 005930'!A:E,2,FALSE)</f>
        <v>46320</v>
      </c>
      <c r="I64">
        <f>VLOOKUP(A64,Tesla!A:E,2,FALSE)</f>
        <v>23.73</v>
      </c>
      <c r="J64">
        <f>VLOOKUP(A64,Intel!A:E,2,FALSE)</f>
        <v>35.07</v>
      </c>
      <c r="K64">
        <f>VLOOKUP(A64,Tencent!A:E,2,FALSE)</f>
        <v>303.24</v>
      </c>
    </row>
    <row r="65" spans="1:11" x14ac:dyDescent="0.5">
      <c r="A65" s="3" t="str" cm="1">
        <f t="array" ref="A65">INDEX(Tencent!$A$2:$A$173,ROWS(Tencent!$A$2:$A$173)-ROW(A64)+1)</f>
        <v>09/01/2017</v>
      </c>
      <c r="B65">
        <f>VLOOKUP(A65,Apple!A:E,2,FALSE)</f>
        <v>38.53</v>
      </c>
      <c r="C65">
        <f>VLOOKUP(A65,Microsoft!A:E,2,FALSE)</f>
        <v>74.489999999999995</v>
      </c>
      <c r="D65">
        <f>VLOOKUP(A65,Google!A:E,2,FALSE)</f>
        <v>48.69</v>
      </c>
      <c r="E65">
        <f>VLOOKUP(A65,Amazon!A:E,2,FALSE)</f>
        <v>48.07</v>
      </c>
      <c r="F65">
        <f>VLOOKUP(A65,NVIDIA!A:E,2,FALSE)</f>
        <v>4.47</v>
      </c>
      <c r="G65">
        <f>VLOOKUP(A65,'Meta(Facebook)'!A:E,2,FALSE)</f>
        <v>170.87</v>
      </c>
      <c r="H65" s="2">
        <f>VLOOKUP(A65,'Samsung 005930'!A:E,2,FALSE)</f>
        <v>51280</v>
      </c>
      <c r="I65">
        <f>VLOOKUP(A65,Tesla!A:E,2,FALSE)</f>
        <v>22.74</v>
      </c>
      <c r="J65">
        <f>VLOOKUP(A65,Intel!A:E,2,FALSE)</f>
        <v>38.08</v>
      </c>
      <c r="K65">
        <f>VLOOKUP(A65,Tencent!A:E,2,FALSE)</f>
        <v>309.88</v>
      </c>
    </row>
    <row r="66" spans="1:11" x14ac:dyDescent="0.5">
      <c r="A66" s="3" t="str" cm="1">
        <f t="array" ref="A66">INDEX(Tencent!$A$2:$A$173,ROWS(Tencent!$A$2:$A$173)-ROW(A65)+1)</f>
        <v>10/01/2017</v>
      </c>
      <c r="B66">
        <f>VLOOKUP(A66,Apple!A:E,2,FALSE)</f>
        <v>42.26</v>
      </c>
      <c r="C66">
        <f>VLOOKUP(A66,Microsoft!A:E,2,FALSE)</f>
        <v>83.18</v>
      </c>
      <c r="D66">
        <f>VLOOKUP(A66,Google!A:E,2,FALSE)</f>
        <v>51.65</v>
      </c>
      <c r="E66">
        <f>VLOOKUP(A66,Amazon!A:E,2,FALSE)</f>
        <v>55.26</v>
      </c>
      <c r="F66">
        <f>VLOOKUP(A66,NVIDIA!A:E,2,FALSE)</f>
        <v>5.17</v>
      </c>
      <c r="G66">
        <f>VLOOKUP(A66,'Meta(Facebook)'!A:E,2,FALSE)</f>
        <v>180.06</v>
      </c>
      <c r="H66" s="2">
        <f>VLOOKUP(A66,'Samsung 005930'!A:E,2,FALSE)</f>
        <v>55080</v>
      </c>
      <c r="I66">
        <f>VLOOKUP(A66,Tesla!A:E,2,FALSE)</f>
        <v>22.1</v>
      </c>
      <c r="J66">
        <f>VLOOKUP(A66,Intel!A:E,2,FALSE)</f>
        <v>45.49</v>
      </c>
      <c r="K66">
        <f>VLOOKUP(A66,Tencent!A:E,2,FALSE)</f>
        <v>322.44</v>
      </c>
    </row>
    <row r="67" spans="1:11" x14ac:dyDescent="0.5">
      <c r="A67" s="3" t="str" cm="1">
        <f t="array" ref="A67">INDEX(Tencent!$A$2:$A$173,ROWS(Tencent!$A$2:$A$173)-ROW(A66)+1)</f>
        <v>11/01/2017</v>
      </c>
      <c r="B67">
        <f>VLOOKUP(A67,Apple!A:E,2,FALSE)</f>
        <v>42.96</v>
      </c>
      <c r="C67">
        <f>VLOOKUP(A67,Microsoft!A:E,2,FALSE)</f>
        <v>84.17</v>
      </c>
      <c r="D67">
        <f>VLOOKUP(A67,Google!A:E,2,FALSE)</f>
        <v>51.81</v>
      </c>
      <c r="E67">
        <f>VLOOKUP(A67,Amazon!A:E,2,FALSE)</f>
        <v>58.84</v>
      </c>
      <c r="F67">
        <f>VLOOKUP(A67,NVIDIA!A:E,2,FALSE)</f>
        <v>5.0199999999999996</v>
      </c>
      <c r="G67">
        <f>VLOOKUP(A67,'Meta(Facebook)'!A:E,2,FALSE)</f>
        <v>177.18</v>
      </c>
      <c r="H67" s="2">
        <f>VLOOKUP(A67,'Samsung 005930'!A:E,2,FALSE)</f>
        <v>50800</v>
      </c>
      <c r="I67">
        <f>VLOOKUP(A67,Tesla!A:E,2,FALSE)</f>
        <v>20.59</v>
      </c>
      <c r="J67">
        <f>VLOOKUP(A67,Intel!A:E,2,FALSE)</f>
        <v>44.84</v>
      </c>
      <c r="K67">
        <f>VLOOKUP(A67,Tencent!A:E,2,FALSE)</f>
        <v>366.87</v>
      </c>
    </row>
    <row r="68" spans="1:11" x14ac:dyDescent="0.5">
      <c r="A68" s="3" t="str" cm="1">
        <f t="array" ref="A68">INDEX(Tencent!$A$2:$A$173,ROWS(Tencent!$A$2:$A$173)-ROW(A67)+1)</f>
        <v>12/01/2017</v>
      </c>
      <c r="B68">
        <f>VLOOKUP(A68,Apple!A:E,2,FALSE)</f>
        <v>42.31</v>
      </c>
      <c r="C68">
        <f>VLOOKUP(A68,Microsoft!A:E,2,FALSE)</f>
        <v>85.54</v>
      </c>
      <c r="D68">
        <f>VLOOKUP(A68,Google!A:E,2,FALSE)</f>
        <v>52.67</v>
      </c>
      <c r="E68">
        <f>VLOOKUP(A68,Amazon!A:E,2,FALSE)</f>
        <v>58.47</v>
      </c>
      <c r="F68">
        <f>VLOOKUP(A68,NVIDIA!A:E,2,FALSE)</f>
        <v>4.84</v>
      </c>
      <c r="G68">
        <f>VLOOKUP(A68,'Meta(Facebook)'!A:E,2,FALSE)</f>
        <v>176.46</v>
      </c>
      <c r="H68" s="2">
        <f>VLOOKUP(A68,'Samsung 005930'!A:E,2,FALSE)</f>
        <v>50960</v>
      </c>
      <c r="I68">
        <f>VLOOKUP(A68,Tesla!A:E,2,FALSE)</f>
        <v>20.76</v>
      </c>
      <c r="J68">
        <f>VLOOKUP(A68,Intel!A:E,2,FALSE)</f>
        <v>46.16</v>
      </c>
      <c r="K68">
        <f>VLOOKUP(A68,Tencent!A:E,2,FALSE)</f>
        <v>374.24</v>
      </c>
    </row>
    <row r="69" spans="1:11" x14ac:dyDescent="0.5">
      <c r="A69" s="3" t="str" cm="1">
        <f t="array" ref="A69">INDEX(Tencent!$A$2:$A$173,ROWS(Tencent!$A$2:$A$173)-ROW(A68)+1)</f>
        <v>01/01/2018</v>
      </c>
      <c r="B69">
        <f>VLOOKUP(A69,Apple!A:E,2,FALSE)</f>
        <v>41.86</v>
      </c>
      <c r="C69">
        <f>VLOOKUP(A69,Microsoft!A:E,2,FALSE)</f>
        <v>95.01</v>
      </c>
      <c r="D69">
        <f>VLOOKUP(A69,Google!A:E,2,FALSE)</f>
        <v>59.11</v>
      </c>
      <c r="E69">
        <f>VLOOKUP(A69,Amazon!A:E,2,FALSE)</f>
        <v>72.540000000000006</v>
      </c>
      <c r="F69">
        <f>VLOOKUP(A69,NVIDIA!A:E,2,FALSE)</f>
        <v>6.14</v>
      </c>
      <c r="G69">
        <f>VLOOKUP(A69,'Meta(Facebook)'!A:E,2,FALSE)</f>
        <v>186.89</v>
      </c>
      <c r="H69" s="2">
        <f>VLOOKUP(A69,'Samsung 005930'!A:E,2,FALSE)</f>
        <v>49900</v>
      </c>
      <c r="I69">
        <f>VLOOKUP(A69,Tesla!A:E,2,FALSE)</f>
        <v>23.62</v>
      </c>
      <c r="J69">
        <f>VLOOKUP(A69,Intel!A:E,2,FALSE)</f>
        <v>48.14</v>
      </c>
      <c r="K69">
        <f>VLOOKUP(A69,Tencent!A:E,2,FALSE)</f>
        <v>427.34</v>
      </c>
    </row>
    <row r="70" spans="1:11" x14ac:dyDescent="0.5">
      <c r="A70" s="3" t="str" cm="1">
        <f t="array" ref="A70">INDEX(Tencent!$A$2:$A$173,ROWS(Tencent!$A$2:$A$173)-ROW(A69)+1)</f>
        <v>02/01/2018</v>
      </c>
      <c r="B70">
        <f>VLOOKUP(A70,Apple!A:E,2,FALSE)</f>
        <v>44.53</v>
      </c>
      <c r="C70">
        <f>VLOOKUP(A70,Microsoft!A:E,2,FALSE)</f>
        <v>93.77</v>
      </c>
      <c r="D70">
        <f>VLOOKUP(A70,Google!A:E,2,FALSE)</f>
        <v>55.2</v>
      </c>
      <c r="E70">
        <f>VLOOKUP(A70,Amazon!A:E,2,FALSE)</f>
        <v>75.62</v>
      </c>
      <c r="F70">
        <f>VLOOKUP(A70,NVIDIA!A:E,2,FALSE)</f>
        <v>6.05</v>
      </c>
      <c r="G70">
        <f>VLOOKUP(A70,'Meta(Facebook)'!A:E,2,FALSE)</f>
        <v>178.32</v>
      </c>
      <c r="H70" s="2">
        <f>VLOOKUP(A70,'Samsung 005930'!A:E,2,FALSE)</f>
        <v>47060</v>
      </c>
      <c r="I70">
        <f>VLOOKUP(A70,Tesla!A:E,2,FALSE)</f>
        <v>22.87</v>
      </c>
      <c r="J70">
        <f>VLOOKUP(A70,Intel!A:E,2,FALSE)</f>
        <v>49.29</v>
      </c>
      <c r="K70">
        <f>VLOOKUP(A70,Tencent!A:E,2,FALSE)</f>
        <v>398.39</v>
      </c>
    </row>
    <row r="71" spans="1:11" x14ac:dyDescent="0.5">
      <c r="A71" s="3" t="str" cm="1">
        <f t="array" ref="A71">INDEX(Tencent!$A$2:$A$173,ROWS(Tencent!$A$2:$A$173)-ROW(A70)+1)</f>
        <v>03/01/2018</v>
      </c>
      <c r="B71">
        <f>VLOOKUP(A71,Apple!A:E,2,FALSE)</f>
        <v>41.95</v>
      </c>
      <c r="C71">
        <f>VLOOKUP(A71,Microsoft!A:E,2,FALSE)</f>
        <v>91.27</v>
      </c>
      <c r="D71">
        <f>VLOOKUP(A71,Google!A:E,2,FALSE)</f>
        <v>51.86</v>
      </c>
      <c r="E71">
        <f>VLOOKUP(A71,Amazon!A:E,2,FALSE)</f>
        <v>72.37</v>
      </c>
      <c r="F71">
        <f>VLOOKUP(A71,NVIDIA!A:E,2,FALSE)</f>
        <v>5.79</v>
      </c>
      <c r="G71">
        <f>VLOOKUP(A71,'Meta(Facebook)'!A:E,2,FALSE)</f>
        <v>159.79</v>
      </c>
      <c r="H71" s="2">
        <f>VLOOKUP(A71,'Samsung 005930'!A:E,2,FALSE)</f>
        <v>49220</v>
      </c>
      <c r="I71">
        <f>VLOOKUP(A71,Tesla!A:E,2,FALSE)</f>
        <v>17.739999999999998</v>
      </c>
      <c r="J71">
        <f>VLOOKUP(A71,Intel!A:E,2,FALSE)</f>
        <v>52.08</v>
      </c>
      <c r="K71">
        <f>VLOOKUP(A71,Tencent!A:E,2,FALSE)</f>
        <v>377.56</v>
      </c>
    </row>
    <row r="72" spans="1:11" x14ac:dyDescent="0.5">
      <c r="A72" s="3" t="str" cm="1">
        <f t="array" ref="A72">INDEX(Tencent!$A$2:$A$173,ROWS(Tencent!$A$2:$A$173)-ROW(A71)+1)</f>
        <v>04/01/2018</v>
      </c>
      <c r="B72">
        <f>VLOOKUP(A72,Apple!A:E,2,FALSE)</f>
        <v>41.31</v>
      </c>
      <c r="C72">
        <f>VLOOKUP(A72,Microsoft!A:E,2,FALSE)</f>
        <v>93.52</v>
      </c>
      <c r="D72">
        <f>VLOOKUP(A72,Google!A:E,2,FALSE)</f>
        <v>50.93</v>
      </c>
      <c r="E72">
        <f>VLOOKUP(A72,Amazon!A:E,2,FALSE)</f>
        <v>78.31</v>
      </c>
      <c r="F72">
        <f>VLOOKUP(A72,NVIDIA!A:E,2,FALSE)</f>
        <v>5.62</v>
      </c>
      <c r="G72">
        <f>VLOOKUP(A72,'Meta(Facebook)'!A:E,2,FALSE)</f>
        <v>172</v>
      </c>
      <c r="H72" s="2">
        <f>VLOOKUP(A72,'Samsung 005930'!A:E,2,FALSE)</f>
        <v>53000</v>
      </c>
      <c r="I72">
        <f>VLOOKUP(A72,Tesla!A:E,2,FALSE)</f>
        <v>19.59</v>
      </c>
      <c r="J72">
        <f>VLOOKUP(A72,Intel!A:E,2,FALSE)</f>
        <v>51.62</v>
      </c>
      <c r="K72">
        <f>VLOOKUP(A72,Tencent!A:E,2,FALSE)</f>
        <v>360.42</v>
      </c>
    </row>
    <row r="73" spans="1:11" x14ac:dyDescent="0.5">
      <c r="A73" s="3" t="str" cm="1">
        <f t="array" ref="A73">INDEX(Tencent!$A$2:$A$173,ROWS(Tencent!$A$2:$A$173)-ROW(A72)+1)</f>
        <v>05/01/2018</v>
      </c>
      <c r="B73">
        <f>VLOOKUP(A73,Apple!A:E,2,FALSE)</f>
        <v>46.72</v>
      </c>
      <c r="C73">
        <f>VLOOKUP(A73,Microsoft!A:E,2,FALSE)</f>
        <v>98.84</v>
      </c>
      <c r="D73">
        <f>VLOOKUP(A73,Google!A:E,2,FALSE)</f>
        <v>55</v>
      </c>
      <c r="E73">
        <f>VLOOKUP(A73,Amazon!A:E,2,FALSE)</f>
        <v>81.48</v>
      </c>
      <c r="F73">
        <f>VLOOKUP(A73,NVIDIA!A:E,2,FALSE)</f>
        <v>6.3</v>
      </c>
      <c r="G73">
        <f>VLOOKUP(A73,'Meta(Facebook)'!A:E,2,FALSE)</f>
        <v>191.78</v>
      </c>
      <c r="H73" s="2">
        <f>VLOOKUP(A73,'Samsung 005930'!A:E,2,FALSE)</f>
        <v>50700</v>
      </c>
      <c r="I73">
        <f>VLOOKUP(A73,Tesla!A:E,2,FALSE)</f>
        <v>18.98</v>
      </c>
      <c r="J73">
        <f>VLOOKUP(A73,Intel!A:E,2,FALSE)</f>
        <v>55.2</v>
      </c>
      <c r="K73">
        <f>VLOOKUP(A73,Tencent!A:E,2,FALSE)</f>
        <v>367.98</v>
      </c>
    </row>
    <row r="74" spans="1:11" x14ac:dyDescent="0.5">
      <c r="A74" s="3" t="str" cm="1">
        <f t="array" ref="A74">INDEX(Tencent!$A$2:$A$173,ROWS(Tencent!$A$2:$A$173)-ROW(A73)+1)</f>
        <v>06/01/2018</v>
      </c>
      <c r="B74">
        <f>VLOOKUP(A74,Apple!A:E,2,FALSE)</f>
        <v>46.28</v>
      </c>
      <c r="C74">
        <f>VLOOKUP(A74,Microsoft!A:E,2,FALSE)</f>
        <v>98.61</v>
      </c>
      <c r="D74">
        <f>VLOOKUP(A74,Google!A:E,2,FALSE)</f>
        <v>56.46</v>
      </c>
      <c r="E74">
        <f>VLOOKUP(A74,Amazon!A:E,2,FALSE)</f>
        <v>84.99</v>
      </c>
      <c r="F74">
        <f>VLOOKUP(A74,NVIDIA!A:E,2,FALSE)</f>
        <v>5.92</v>
      </c>
      <c r="G74">
        <f>VLOOKUP(A74,'Meta(Facebook)'!A:E,2,FALSE)</f>
        <v>194.32</v>
      </c>
      <c r="H74" s="2">
        <f>VLOOKUP(A74,'Samsung 005930'!A:E,2,FALSE)</f>
        <v>46650</v>
      </c>
      <c r="I74">
        <f>VLOOKUP(A74,Tesla!A:E,2,FALSE)</f>
        <v>22.86</v>
      </c>
      <c r="J74">
        <f>VLOOKUP(A74,Intel!A:E,2,FALSE)</f>
        <v>49.71</v>
      </c>
      <c r="K74">
        <f>VLOOKUP(A74,Tencent!A:E,2,FALSE)</f>
        <v>363</v>
      </c>
    </row>
    <row r="75" spans="1:11" x14ac:dyDescent="0.5">
      <c r="A75" s="3" t="str" cm="1">
        <f t="array" ref="A75">INDEX(Tencent!$A$2:$A$173,ROWS(Tencent!$A$2:$A$173)-ROW(A74)+1)</f>
        <v>07/01/2018</v>
      </c>
      <c r="B75">
        <f>VLOOKUP(A75,Apple!A:E,2,FALSE)</f>
        <v>47.57</v>
      </c>
      <c r="C75">
        <f>VLOOKUP(A75,Microsoft!A:E,2,FALSE)</f>
        <v>106.08</v>
      </c>
      <c r="D75">
        <f>VLOOKUP(A75,Google!A:E,2,FALSE)</f>
        <v>61.36</v>
      </c>
      <c r="E75">
        <f>VLOOKUP(A75,Amazon!A:E,2,FALSE)</f>
        <v>88.87</v>
      </c>
      <c r="F75">
        <f>VLOOKUP(A75,NVIDIA!A:E,2,FALSE)</f>
        <v>6.12</v>
      </c>
      <c r="G75">
        <f>VLOOKUP(A75,'Meta(Facebook)'!A:E,2,FALSE)</f>
        <v>172.58</v>
      </c>
      <c r="H75" s="2">
        <f>VLOOKUP(A75,'Samsung 005930'!A:E,2,FALSE)</f>
        <v>46250</v>
      </c>
      <c r="I75">
        <f>VLOOKUP(A75,Tesla!A:E,2,FALSE)</f>
        <v>19.88</v>
      </c>
      <c r="J75">
        <f>VLOOKUP(A75,Intel!A:E,2,FALSE)</f>
        <v>48.1</v>
      </c>
      <c r="K75">
        <f>VLOOKUP(A75,Tencent!A:E,2,FALSE)</f>
        <v>327.42</v>
      </c>
    </row>
    <row r="76" spans="1:11" x14ac:dyDescent="0.5">
      <c r="A76" s="3" t="str" cm="1">
        <f t="array" ref="A76">INDEX(Tencent!$A$2:$A$173,ROWS(Tencent!$A$2:$A$173)-ROW(A75)+1)</f>
        <v>08/01/2018</v>
      </c>
      <c r="B76">
        <f>VLOOKUP(A76,Apple!A:E,2,FALSE)</f>
        <v>56.91</v>
      </c>
      <c r="C76">
        <f>VLOOKUP(A76,Microsoft!A:E,2,FALSE)</f>
        <v>112.33</v>
      </c>
      <c r="D76">
        <f>VLOOKUP(A76,Google!A:E,2,FALSE)</f>
        <v>61.59</v>
      </c>
      <c r="E76">
        <f>VLOOKUP(A76,Amazon!A:E,2,FALSE)</f>
        <v>100.64</v>
      </c>
      <c r="F76">
        <f>VLOOKUP(A76,NVIDIA!A:E,2,FALSE)</f>
        <v>7.02</v>
      </c>
      <c r="G76">
        <f>VLOOKUP(A76,'Meta(Facebook)'!A:E,2,FALSE)</f>
        <v>175.73</v>
      </c>
      <c r="H76" s="2">
        <f>VLOOKUP(A76,'Samsung 005930'!A:E,2,FALSE)</f>
        <v>48450</v>
      </c>
      <c r="I76">
        <f>VLOOKUP(A76,Tesla!A:E,2,FALSE)</f>
        <v>20.11</v>
      </c>
      <c r="J76">
        <f>VLOOKUP(A76,Intel!A:E,2,FALSE)</f>
        <v>48.43</v>
      </c>
      <c r="K76">
        <f>VLOOKUP(A76,Tencent!A:E,2,FALSE)</f>
        <v>313.39999999999998</v>
      </c>
    </row>
    <row r="77" spans="1:11" x14ac:dyDescent="0.5">
      <c r="A77" s="3" t="str" cm="1">
        <f t="array" ref="A77">INDEX(Tencent!$A$2:$A$173,ROWS(Tencent!$A$2:$A$173)-ROW(A76)+1)</f>
        <v>09/01/2018</v>
      </c>
      <c r="B77">
        <f>VLOOKUP(A77,Apple!A:E,2,FALSE)</f>
        <v>56.44</v>
      </c>
      <c r="C77">
        <f>VLOOKUP(A77,Microsoft!A:E,2,FALSE)</f>
        <v>114.37</v>
      </c>
      <c r="D77">
        <f>VLOOKUP(A77,Google!A:E,2,FALSE)</f>
        <v>60.35</v>
      </c>
      <c r="E77">
        <f>VLOOKUP(A77,Amazon!A:E,2,FALSE)</f>
        <v>100.15</v>
      </c>
      <c r="F77">
        <f>VLOOKUP(A77,NVIDIA!A:E,2,FALSE)</f>
        <v>7.03</v>
      </c>
      <c r="G77">
        <f>VLOOKUP(A77,'Meta(Facebook)'!A:E,2,FALSE)</f>
        <v>164.46</v>
      </c>
      <c r="H77" s="2">
        <f>VLOOKUP(A77,'Samsung 005930'!A:E,2,FALSE)</f>
        <v>46450</v>
      </c>
      <c r="I77">
        <f>VLOOKUP(A77,Tesla!A:E,2,FALSE)</f>
        <v>17.649999999999999</v>
      </c>
      <c r="J77">
        <f>VLOOKUP(A77,Intel!A:E,2,FALSE)</f>
        <v>47.29</v>
      </c>
      <c r="K77">
        <f>VLOOKUP(A77,Tencent!A:E,2,FALSE)</f>
        <v>297.92</v>
      </c>
    </row>
    <row r="78" spans="1:11" x14ac:dyDescent="0.5">
      <c r="A78" s="3" t="str" cm="1">
        <f t="array" ref="A78">INDEX(Tencent!$A$2:$A$173,ROWS(Tencent!$A$2:$A$173)-ROW(A77)+1)</f>
        <v>10/01/2018</v>
      </c>
      <c r="B78">
        <f>VLOOKUP(A78,Apple!A:E,2,FALSE)</f>
        <v>54.72</v>
      </c>
      <c r="C78">
        <f>VLOOKUP(A78,Microsoft!A:E,2,FALSE)</f>
        <v>106.81</v>
      </c>
      <c r="D78">
        <f>VLOOKUP(A78,Google!A:E,2,FALSE)</f>
        <v>54.53</v>
      </c>
      <c r="E78">
        <f>VLOOKUP(A78,Amazon!A:E,2,FALSE)</f>
        <v>79.900000000000006</v>
      </c>
      <c r="F78">
        <f>VLOOKUP(A78,NVIDIA!A:E,2,FALSE)</f>
        <v>5.27</v>
      </c>
      <c r="G78">
        <f>VLOOKUP(A78,'Meta(Facebook)'!A:E,2,FALSE)</f>
        <v>151.79</v>
      </c>
      <c r="H78" s="2">
        <f>VLOOKUP(A78,'Samsung 005930'!A:E,2,FALSE)</f>
        <v>42400</v>
      </c>
      <c r="I78">
        <f>VLOOKUP(A78,Tesla!A:E,2,FALSE)</f>
        <v>22.49</v>
      </c>
      <c r="J78">
        <f>VLOOKUP(A78,Intel!A:E,2,FALSE)</f>
        <v>46.88</v>
      </c>
      <c r="K78">
        <f>VLOOKUP(A78,Tencent!A:E,2,FALSE)</f>
        <v>246.12</v>
      </c>
    </row>
    <row r="79" spans="1:11" x14ac:dyDescent="0.5">
      <c r="A79" s="3" t="str" cm="1">
        <f t="array" ref="A79">INDEX(Tencent!$A$2:$A$173,ROWS(Tencent!$A$2:$A$173)-ROW(A78)+1)</f>
        <v>11/01/2018</v>
      </c>
      <c r="B79">
        <f>VLOOKUP(A79,Apple!A:E,2,FALSE)</f>
        <v>44.65</v>
      </c>
      <c r="C79">
        <f>VLOOKUP(A79,Microsoft!A:E,2,FALSE)</f>
        <v>110.89</v>
      </c>
      <c r="D79">
        <f>VLOOKUP(A79,Google!A:E,2,FALSE)</f>
        <v>55.48</v>
      </c>
      <c r="E79">
        <f>VLOOKUP(A79,Amazon!A:E,2,FALSE)</f>
        <v>84.51</v>
      </c>
      <c r="F79">
        <f>VLOOKUP(A79,NVIDIA!A:E,2,FALSE)</f>
        <v>4.09</v>
      </c>
      <c r="G79">
        <f>VLOOKUP(A79,'Meta(Facebook)'!A:E,2,FALSE)</f>
        <v>140.61000000000001</v>
      </c>
      <c r="H79" s="2">
        <f>VLOOKUP(A79,'Samsung 005930'!A:E,2,FALSE)</f>
        <v>41850</v>
      </c>
      <c r="I79">
        <f>VLOOKUP(A79,Tesla!A:E,2,FALSE)</f>
        <v>23.37</v>
      </c>
      <c r="J79">
        <f>VLOOKUP(A79,Intel!A:E,2,FALSE)</f>
        <v>49.31</v>
      </c>
      <c r="K79">
        <f>VLOOKUP(A79,Tencent!A:E,2,FALSE)</f>
        <v>287.60000000000002</v>
      </c>
    </row>
    <row r="80" spans="1:11" x14ac:dyDescent="0.5">
      <c r="A80" s="3" t="str" cm="1">
        <f t="array" ref="A80">INDEX(Tencent!$A$2:$A$173,ROWS(Tencent!$A$2:$A$173)-ROW(A79)+1)</f>
        <v>12/01/2018</v>
      </c>
      <c r="B80">
        <f>VLOOKUP(A80,Apple!A:E,2,FALSE)</f>
        <v>39.44</v>
      </c>
      <c r="C80">
        <f>VLOOKUP(A80,Microsoft!A:E,2,FALSE)</f>
        <v>101.57</v>
      </c>
      <c r="D80">
        <f>VLOOKUP(A80,Google!A:E,2,FALSE)</f>
        <v>52.25</v>
      </c>
      <c r="E80">
        <f>VLOOKUP(A80,Amazon!A:E,2,FALSE)</f>
        <v>75.099999999999994</v>
      </c>
      <c r="F80">
        <f>VLOOKUP(A80,NVIDIA!A:E,2,FALSE)</f>
        <v>3.34</v>
      </c>
      <c r="G80">
        <f>VLOOKUP(A80,'Meta(Facebook)'!A:E,2,FALSE)</f>
        <v>131.09</v>
      </c>
      <c r="H80" s="2">
        <f>VLOOKUP(A80,'Samsung 005930'!A:E,2,FALSE)</f>
        <v>38700</v>
      </c>
      <c r="I80">
        <f>VLOOKUP(A80,Tesla!A:E,2,FALSE)</f>
        <v>22.19</v>
      </c>
      <c r="J80">
        <f>VLOOKUP(A80,Intel!A:E,2,FALSE)</f>
        <v>46.93</v>
      </c>
      <c r="K80">
        <f>VLOOKUP(A80,Tencent!A:E,2,FALSE)</f>
        <v>289.45999999999998</v>
      </c>
    </row>
    <row r="81" spans="1:11" x14ac:dyDescent="0.5">
      <c r="A81" s="3" t="str" cm="1">
        <f t="array" ref="A81">INDEX(Tencent!$A$2:$A$173,ROWS(Tencent!$A$2:$A$173)-ROW(A80)+1)</f>
        <v>01/01/2019</v>
      </c>
      <c r="B81">
        <f>VLOOKUP(A81,Apple!A:E,2,FALSE)</f>
        <v>41.61</v>
      </c>
      <c r="C81">
        <f>VLOOKUP(A81,Microsoft!A:E,2,FALSE)</f>
        <v>104.43</v>
      </c>
      <c r="D81">
        <f>VLOOKUP(A81,Google!A:E,2,FALSE)</f>
        <v>56.29</v>
      </c>
      <c r="E81">
        <f>VLOOKUP(A81,Amazon!A:E,2,FALSE)</f>
        <v>85.94</v>
      </c>
      <c r="F81">
        <f>VLOOKUP(A81,NVIDIA!A:E,2,FALSE)</f>
        <v>3.59</v>
      </c>
      <c r="G81">
        <f>VLOOKUP(A81,'Meta(Facebook)'!A:E,2,FALSE)</f>
        <v>166.69</v>
      </c>
      <c r="H81" s="2">
        <f>VLOOKUP(A81,'Samsung 005930'!A:E,2,FALSE)</f>
        <v>46150</v>
      </c>
      <c r="I81">
        <f>VLOOKUP(A81,Tesla!A:E,2,FALSE)</f>
        <v>20.47</v>
      </c>
      <c r="J81">
        <f>VLOOKUP(A81,Intel!A:E,2,FALSE)</f>
        <v>47.12</v>
      </c>
      <c r="K81">
        <f>VLOOKUP(A81,Tencent!A:E,2,FALSE)</f>
        <v>318.95999999999998</v>
      </c>
    </row>
    <row r="82" spans="1:11" x14ac:dyDescent="0.5">
      <c r="A82" s="3" t="str" cm="1">
        <f t="array" ref="A82">INDEX(Tencent!$A$2:$A$173,ROWS(Tencent!$A$2:$A$173)-ROW(A81)+1)</f>
        <v>02/01/2019</v>
      </c>
      <c r="B82">
        <f>VLOOKUP(A82,Apple!A:E,2,FALSE)</f>
        <v>43.29</v>
      </c>
      <c r="C82">
        <f>VLOOKUP(A82,Microsoft!A:E,2,FALSE)</f>
        <v>112.03</v>
      </c>
      <c r="D82">
        <f>VLOOKUP(A82,Google!A:E,2,FALSE)</f>
        <v>56.33</v>
      </c>
      <c r="E82">
        <f>VLOOKUP(A82,Amazon!A:E,2,FALSE)</f>
        <v>81.99</v>
      </c>
      <c r="F82">
        <f>VLOOKUP(A82,NVIDIA!A:E,2,FALSE)</f>
        <v>3.86</v>
      </c>
      <c r="G82">
        <f>VLOOKUP(A82,'Meta(Facebook)'!A:E,2,FALSE)</f>
        <v>161.44999999999999</v>
      </c>
      <c r="H82" s="2">
        <f>VLOOKUP(A82,'Samsung 005930'!A:E,2,FALSE)</f>
        <v>45100</v>
      </c>
      <c r="I82">
        <f>VLOOKUP(A82,Tesla!A:E,2,FALSE)</f>
        <v>21.33</v>
      </c>
      <c r="J82">
        <f>VLOOKUP(A82,Intel!A:E,2,FALSE)</f>
        <v>52.96</v>
      </c>
      <c r="K82">
        <f>VLOOKUP(A82,Tencent!A:E,2,FALSE)</f>
        <v>309.56</v>
      </c>
    </row>
    <row r="83" spans="1:11" x14ac:dyDescent="0.5">
      <c r="A83" s="3" t="str" cm="1">
        <f t="array" ref="A83">INDEX(Tencent!$A$2:$A$173,ROWS(Tencent!$A$2:$A$173)-ROW(A82)+1)</f>
        <v>03/01/2019</v>
      </c>
      <c r="B83">
        <f>VLOOKUP(A83,Apple!A:E,2,FALSE)</f>
        <v>47.49</v>
      </c>
      <c r="C83">
        <f>VLOOKUP(A83,Microsoft!A:E,2,FALSE)</f>
        <v>117.94</v>
      </c>
      <c r="D83">
        <f>VLOOKUP(A83,Google!A:E,2,FALSE)</f>
        <v>58.84</v>
      </c>
      <c r="E83">
        <f>VLOOKUP(A83,Amazon!A:E,2,FALSE)</f>
        <v>89.04</v>
      </c>
      <c r="F83">
        <f>VLOOKUP(A83,NVIDIA!A:E,2,FALSE)</f>
        <v>4.49</v>
      </c>
      <c r="G83">
        <f>VLOOKUP(A83,'Meta(Facebook)'!A:E,2,FALSE)</f>
        <v>166.69</v>
      </c>
      <c r="H83" s="2">
        <f>VLOOKUP(A83,'Samsung 005930'!A:E,2,FALSE)</f>
        <v>44650</v>
      </c>
      <c r="I83">
        <f>VLOOKUP(A83,Tesla!A:E,2,FALSE)</f>
        <v>18.66</v>
      </c>
      <c r="J83">
        <f>VLOOKUP(A83,Intel!A:E,2,FALSE)</f>
        <v>53.7</v>
      </c>
      <c r="K83">
        <f>VLOOKUP(A83,Tencent!A:E,2,FALSE)</f>
        <v>332.79</v>
      </c>
    </row>
    <row r="84" spans="1:11" x14ac:dyDescent="0.5">
      <c r="A84" s="3" t="str" cm="1">
        <f t="array" ref="A84">INDEX(Tencent!$A$2:$A$173,ROWS(Tencent!$A$2:$A$173)-ROW(A83)+1)</f>
        <v>04/01/2019</v>
      </c>
      <c r="B84">
        <f>VLOOKUP(A84,Apple!A:E,2,FALSE)</f>
        <v>50.17</v>
      </c>
      <c r="C84">
        <f>VLOOKUP(A84,Microsoft!A:E,2,FALSE)</f>
        <v>130.6</v>
      </c>
      <c r="D84">
        <f>VLOOKUP(A84,Google!A:E,2,FALSE)</f>
        <v>59.95</v>
      </c>
      <c r="E84">
        <f>VLOOKUP(A84,Amazon!A:E,2,FALSE)</f>
        <v>96.33</v>
      </c>
      <c r="F84">
        <f>VLOOKUP(A84,NVIDIA!A:E,2,FALSE)</f>
        <v>4.53</v>
      </c>
      <c r="G84">
        <f>VLOOKUP(A84,'Meta(Facebook)'!A:E,2,FALSE)</f>
        <v>193.4</v>
      </c>
      <c r="H84" s="2">
        <f>VLOOKUP(A84,'Samsung 005930'!A:E,2,FALSE)</f>
        <v>45850</v>
      </c>
      <c r="I84">
        <f>VLOOKUP(A84,Tesla!A:E,2,FALSE)</f>
        <v>15.91</v>
      </c>
      <c r="J84">
        <f>VLOOKUP(A84,Intel!A:E,2,FALSE)</f>
        <v>51.04</v>
      </c>
      <c r="K84">
        <f>VLOOKUP(A84,Tencent!A:E,2,FALSE)</f>
        <v>357.68</v>
      </c>
    </row>
    <row r="85" spans="1:11" x14ac:dyDescent="0.5">
      <c r="A85" s="3" t="str" cm="1">
        <f t="array" ref="A85">INDEX(Tencent!$A$2:$A$173,ROWS(Tencent!$A$2:$A$173)-ROW(A84)+1)</f>
        <v>05/01/2019</v>
      </c>
      <c r="B85">
        <f>VLOOKUP(A85,Apple!A:E,2,FALSE)</f>
        <v>43.77</v>
      </c>
      <c r="C85">
        <f>VLOOKUP(A85,Microsoft!A:E,2,FALSE)</f>
        <v>123.68</v>
      </c>
      <c r="D85">
        <f>VLOOKUP(A85,Google!A:E,2,FALSE)</f>
        <v>55.33</v>
      </c>
      <c r="E85">
        <f>VLOOKUP(A85,Amazon!A:E,2,FALSE)</f>
        <v>88.75</v>
      </c>
      <c r="F85">
        <f>VLOOKUP(A85,NVIDIA!A:E,2,FALSE)</f>
        <v>3.39</v>
      </c>
      <c r="G85">
        <f>VLOOKUP(A85,'Meta(Facebook)'!A:E,2,FALSE)</f>
        <v>177.47</v>
      </c>
      <c r="H85" s="2">
        <f>VLOOKUP(A85,'Samsung 005930'!A:E,2,FALSE)</f>
        <v>42500</v>
      </c>
      <c r="I85">
        <f>VLOOKUP(A85,Tesla!A:E,2,FALSE)</f>
        <v>12.34</v>
      </c>
      <c r="J85">
        <f>VLOOKUP(A85,Intel!A:E,2,FALSE)</f>
        <v>44.04</v>
      </c>
      <c r="K85">
        <f>VLOOKUP(A85,Tencent!A:E,2,FALSE)</f>
        <v>300.52</v>
      </c>
    </row>
    <row r="86" spans="1:11" x14ac:dyDescent="0.5">
      <c r="A86" s="3" t="str" cm="1">
        <f t="array" ref="A86">INDEX(Tencent!$A$2:$A$173,ROWS(Tencent!$A$2:$A$173)-ROW(A85)+1)</f>
        <v>06/01/2019</v>
      </c>
      <c r="B86">
        <f>VLOOKUP(A86,Apple!A:E,2,FALSE)</f>
        <v>49.48</v>
      </c>
      <c r="C86">
        <f>VLOOKUP(A86,Microsoft!A:E,2,FALSE)</f>
        <v>133.96</v>
      </c>
      <c r="D86">
        <f>VLOOKUP(A86,Google!A:E,2,FALSE)</f>
        <v>54.14</v>
      </c>
      <c r="E86">
        <f>VLOOKUP(A86,Amazon!A:E,2,FALSE)</f>
        <v>94.68</v>
      </c>
      <c r="F86">
        <f>VLOOKUP(A86,NVIDIA!A:E,2,FALSE)</f>
        <v>4.1100000000000003</v>
      </c>
      <c r="G86">
        <f>VLOOKUP(A86,'Meta(Facebook)'!A:E,2,FALSE)</f>
        <v>193</v>
      </c>
      <c r="H86" s="2">
        <f>VLOOKUP(A86,'Samsung 005930'!A:E,2,FALSE)</f>
        <v>47000</v>
      </c>
      <c r="I86">
        <f>VLOOKUP(A86,Tesla!A:E,2,FALSE)</f>
        <v>14.9</v>
      </c>
      <c r="J86">
        <f>VLOOKUP(A86,Intel!A:E,2,FALSE)</f>
        <v>47.87</v>
      </c>
      <c r="K86">
        <f>VLOOKUP(A86,Tencent!A:E,2,FALSE)</f>
        <v>325.05</v>
      </c>
    </row>
    <row r="87" spans="1:11" x14ac:dyDescent="0.5">
      <c r="A87" s="3" t="str" cm="1">
        <f t="array" ref="A87">INDEX(Tencent!$A$2:$A$173,ROWS(Tencent!$A$2:$A$173)-ROW(A86)+1)</f>
        <v>07/01/2019</v>
      </c>
      <c r="B87">
        <f>VLOOKUP(A87,Apple!A:E,2,FALSE)</f>
        <v>53.26</v>
      </c>
      <c r="C87">
        <f>VLOOKUP(A87,Microsoft!A:E,2,FALSE)</f>
        <v>136.27000000000001</v>
      </c>
      <c r="D87">
        <f>VLOOKUP(A87,Google!A:E,2,FALSE)</f>
        <v>60.91</v>
      </c>
      <c r="E87">
        <f>VLOOKUP(A87,Amazon!A:E,2,FALSE)</f>
        <v>93.34</v>
      </c>
      <c r="F87">
        <f>VLOOKUP(A87,NVIDIA!A:E,2,FALSE)</f>
        <v>4.22</v>
      </c>
      <c r="G87">
        <f>VLOOKUP(A87,'Meta(Facebook)'!A:E,2,FALSE)</f>
        <v>194.23</v>
      </c>
      <c r="H87" s="2">
        <f>VLOOKUP(A87,'Samsung 005930'!A:E,2,FALSE)</f>
        <v>45350</v>
      </c>
      <c r="I87">
        <f>VLOOKUP(A87,Tesla!A:E,2,FALSE)</f>
        <v>16.11</v>
      </c>
      <c r="J87">
        <f>VLOOKUP(A87,Intel!A:E,2,FALSE)</f>
        <v>50.55</v>
      </c>
      <c r="K87">
        <f>VLOOKUP(A87,Tencent!A:E,2,FALSE)</f>
        <v>339.43</v>
      </c>
    </row>
    <row r="88" spans="1:11" x14ac:dyDescent="0.5">
      <c r="A88" s="3" t="str" cm="1">
        <f t="array" ref="A88">INDEX(Tencent!$A$2:$A$173,ROWS(Tencent!$A$2:$A$173)-ROW(A87)+1)</f>
        <v>08/01/2019</v>
      </c>
      <c r="B88">
        <f>VLOOKUP(A88,Apple!A:E,2,FALSE)</f>
        <v>52.19</v>
      </c>
      <c r="C88">
        <f>VLOOKUP(A88,Microsoft!A:E,2,FALSE)</f>
        <v>137.86000000000001</v>
      </c>
      <c r="D88">
        <f>VLOOKUP(A88,Google!A:E,2,FALSE)</f>
        <v>59.53</v>
      </c>
      <c r="E88">
        <f>VLOOKUP(A88,Amazon!A:E,2,FALSE)</f>
        <v>88.81</v>
      </c>
      <c r="F88">
        <f>VLOOKUP(A88,NVIDIA!A:E,2,FALSE)</f>
        <v>4.1900000000000004</v>
      </c>
      <c r="G88">
        <f>VLOOKUP(A88,'Meta(Facebook)'!A:E,2,FALSE)</f>
        <v>185.67</v>
      </c>
      <c r="H88" s="2">
        <f>VLOOKUP(A88,'Samsung 005930'!A:E,2,FALSE)</f>
        <v>44000</v>
      </c>
      <c r="I88">
        <f>VLOOKUP(A88,Tesla!A:E,2,FALSE)</f>
        <v>15.04</v>
      </c>
      <c r="J88">
        <f>VLOOKUP(A88,Intel!A:E,2,FALSE)</f>
        <v>47.41</v>
      </c>
      <c r="K88">
        <f>VLOOKUP(A88,Tencent!A:E,2,FALSE)</f>
        <v>299.42</v>
      </c>
    </row>
    <row r="89" spans="1:11" x14ac:dyDescent="0.5">
      <c r="A89" s="3" t="str" cm="1">
        <f t="array" ref="A89">INDEX(Tencent!$A$2:$A$173,ROWS(Tencent!$A$2:$A$173)-ROW(A88)+1)</f>
        <v>09/01/2019</v>
      </c>
      <c r="B89">
        <f>VLOOKUP(A89,Apple!A:E,2,FALSE)</f>
        <v>55.99</v>
      </c>
      <c r="C89">
        <f>VLOOKUP(A89,Microsoft!A:E,2,FALSE)</f>
        <v>139.03</v>
      </c>
      <c r="D89">
        <f>VLOOKUP(A89,Google!A:E,2,FALSE)</f>
        <v>61.06</v>
      </c>
      <c r="E89">
        <f>VLOOKUP(A89,Amazon!A:E,2,FALSE)</f>
        <v>86.8</v>
      </c>
      <c r="F89">
        <f>VLOOKUP(A89,NVIDIA!A:E,2,FALSE)</f>
        <v>4.3499999999999996</v>
      </c>
      <c r="G89">
        <f>VLOOKUP(A89,'Meta(Facebook)'!A:E,2,FALSE)</f>
        <v>178.08</v>
      </c>
      <c r="H89" s="2">
        <f>VLOOKUP(A89,'Samsung 005930'!A:E,2,FALSE)</f>
        <v>49050</v>
      </c>
      <c r="I89">
        <f>VLOOKUP(A89,Tesla!A:E,2,FALSE)</f>
        <v>16.059999999999999</v>
      </c>
      <c r="J89">
        <f>VLOOKUP(A89,Intel!A:E,2,FALSE)</f>
        <v>51.53</v>
      </c>
      <c r="K89">
        <f>VLOOKUP(A89,Tencent!A:E,2,FALSE)</f>
        <v>304.39999999999998</v>
      </c>
    </row>
    <row r="90" spans="1:11" x14ac:dyDescent="0.5">
      <c r="A90" s="3" t="str" cm="1">
        <f t="array" ref="A90">INDEX(Tencent!$A$2:$A$173,ROWS(Tencent!$A$2:$A$173)-ROW(A89)+1)</f>
        <v>10/01/2019</v>
      </c>
      <c r="B90">
        <f>VLOOKUP(A90,Apple!A:E,2,FALSE)</f>
        <v>62.19</v>
      </c>
      <c r="C90">
        <f>VLOOKUP(A90,Microsoft!A:E,2,FALSE)</f>
        <v>143.37</v>
      </c>
      <c r="D90">
        <f>VLOOKUP(A90,Google!A:E,2,FALSE)</f>
        <v>62.94</v>
      </c>
      <c r="E90">
        <f>VLOOKUP(A90,Amazon!A:E,2,FALSE)</f>
        <v>88.83</v>
      </c>
      <c r="F90">
        <f>VLOOKUP(A90,NVIDIA!A:E,2,FALSE)</f>
        <v>5.03</v>
      </c>
      <c r="G90">
        <f>VLOOKUP(A90,'Meta(Facebook)'!A:E,2,FALSE)</f>
        <v>191.65</v>
      </c>
      <c r="H90" s="2">
        <f>VLOOKUP(A90,'Samsung 005930'!A:E,2,FALSE)</f>
        <v>50400</v>
      </c>
      <c r="I90">
        <f>VLOOKUP(A90,Tesla!A:E,2,FALSE)</f>
        <v>20.99</v>
      </c>
      <c r="J90">
        <f>VLOOKUP(A90,Intel!A:E,2,FALSE)</f>
        <v>56.53</v>
      </c>
      <c r="K90">
        <f>VLOOKUP(A90,Tencent!A:E,2,FALSE)</f>
        <v>295.73</v>
      </c>
    </row>
    <row r="91" spans="1:11" x14ac:dyDescent="0.5">
      <c r="A91" s="3" t="str" cm="1">
        <f t="array" ref="A91">INDEX(Tencent!$A$2:$A$173,ROWS(Tencent!$A$2:$A$173)-ROW(A90)+1)</f>
        <v>11/01/2019</v>
      </c>
      <c r="B91">
        <f>VLOOKUP(A91,Apple!A:E,2,FALSE)</f>
        <v>66.81</v>
      </c>
      <c r="C91">
        <f>VLOOKUP(A91,Microsoft!A:E,2,FALSE)</f>
        <v>151.38</v>
      </c>
      <c r="D91">
        <f>VLOOKUP(A91,Google!A:E,2,FALSE)</f>
        <v>65.2</v>
      </c>
      <c r="E91">
        <f>VLOOKUP(A91,Amazon!A:E,2,FALSE)</f>
        <v>90.04</v>
      </c>
      <c r="F91">
        <f>VLOOKUP(A91,NVIDIA!A:E,2,FALSE)</f>
        <v>5.42</v>
      </c>
      <c r="G91">
        <f>VLOOKUP(A91,'Meta(Facebook)'!A:E,2,FALSE)</f>
        <v>201.64</v>
      </c>
      <c r="H91" s="2">
        <f>VLOOKUP(A91,'Samsung 005930'!A:E,2,FALSE)</f>
        <v>50300</v>
      </c>
      <c r="I91">
        <f>VLOOKUP(A91,Tesla!A:E,2,FALSE)</f>
        <v>22</v>
      </c>
      <c r="J91">
        <f>VLOOKUP(A91,Intel!A:E,2,FALSE)</f>
        <v>58.05</v>
      </c>
      <c r="K91">
        <f>VLOOKUP(A91,Tencent!A:E,2,FALSE)</f>
        <v>305.87</v>
      </c>
    </row>
    <row r="92" spans="1:11" x14ac:dyDescent="0.5">
      <c r="A92" s="3" t="str" cm="1">
        <f t="array" ref="A92">INDEX(Tencent!$A$2:$A$173,ROWS(Tencent!$A$2:$A$173)-ROW(A91)+1)</f>
        <v>12/01/2019</v>
      </c>
      <c r="B92">
        <f>VLOOKUP(A92,Apple!A:E,2,FALSE)</f>
        <v>73.41</v>
      </c>
      <c r="C92">
        <f>VLOOKUP(A92,Microsoft!A:E,2,FALSE)</f>
        <v>157.69999999999999</v>
      </c>
      <c r="D92">
        <f>VLOOKUP(A92,Google!A:E,2,FALSE)</f>
        <v>66.97</v>
      </c>
      <c r="E92">
        <f>VLOOKUP(A92,Amazon!A:E,2,FALSE)</f>
        <v>92.39</v>
      </c>
      <c r="F92">
        <f>VLOOKUP(A92,NVIDIA!A:E,2,FALSE)</f>
        <v>5.88</v>
      </c>
      <c r="G92">
        <f>VLOOKUP(A92,'Meta(Facebook)'!A:E,2,FALSE)</f>
        <v>205.25</v>
      </c>
      <c r="H92" s="2">
        <f>VLOOKUP(A92,'Samsung 005930'!A:E,2,FALSE)</f>
        <v>55800</v>
      </c>
      <c r="I92">
        <f>VLOOKUP(A92,Tesla!A:E,2,FALSE)</f>
        <v>27.89</v>
      </c>
      <c r="J92">
        <f>VLOOKUP(A92,Intel!A:E,2,FALSE)</f>
        <v>59.85</v>
      </c>
      <c r="K92">
        <f>VLOOKUP(A92,Tencent!A:E,2,FALSE)</f>
        <v>346.25</v>
      </c>
    </row>
    <row r="93" spans="1:11" x14ac:dyDescent="0.5">
      <c r="A93" s="3" t="str" cm="1">
        <f t="array" ref="A93">INDEX(Tencent!$A$2:$A$173,ROWS(Tencent!$A$2:$A$173)-ROW(A92)+1)</f>
        <v>01/01/2020</v>
      </c>
      <c r="B93">
        <f>VLOOKUP(A93,Apple!A:E,2,FALSE)</f>
        <v>77.38</v>
      </c>
      <c r="C93">
        <f>VLOOKUP(A93,Microsoft!A:E,2,FALSE)</f>
        <v>170.23</v>
      </c>
      <c r="D93">
        <f>VLOOKUP(A93,Google!A:E,2,FALSE)</f>
        <v>71.64</v>
      </c>
      <c r="E93">
        <f>VLOOKUP(A93,Amazon!A:E,2,FALSE)</f>
        <v>100.44</v>
      </c>
      <c r="F93">
        <f>VLOOKUP(A93,NVIDIA!A:E,2,FALSE)</f>
        <v>5.91</v>
      </c>
      <c r="G93">
        <f>VLOOKUP(A93,'Meta(Facebook)'!A:E,2,FALSE)</f>
        <v>201.91</v>
      </c>
      <c r="H93" s="2">
        <f>VLOOKUP(A93,'Samsung 005930'!A:E,2,FALSE)</f>
        <v>56400</v>
      </c>
      <c r="I93">
        <f>VLOOKUP(A93,Tesla!A:E,2,FALSE)</f>
        <v>43.37</v>
      </c>
      <c r="J93">
        <f>VLOOKUP(A93,Intel!A:E,2,FALSE)</f>
        <v>63.93</v>
      </c>
      <c r="K93">
        <f>VLOOKUP(A93,Tencent!A:E,2,FALSE)</f>
        <v>343.85</v>
      </c>
    </row>
    <row r="94" spans="1:11" x14ac:dyDescent="0.5">
      <c r="A94" s="3" t="str" cm="1">
        <f t="array" ref="A94">INDEX(Tencent!$A$2:$A$173,ROWS(Tencent!$A$2:$A$173)-ROW(A93)+1)</f>
        <v>02/01/2020</v>
      </c>
      <c r="B94">
        <f>VLOOKUP(A94,Apple!A:E,2,FALSE)</f>
        <v>68.34</v>
      </c>
      <c r="C94">
        <f>VLOOKUP(A94,Microsoft!A:E,2,FALSE)</f>
        <v>162.01</v>
      </c>
      <c r="D94">
        <f>VLOOKUP(A94,Google!A:E,2,FALSE)</f>
        <v>66.959999999999994</v>
      </c>
      <c r="E94">
        <f>VLOOKUP(A94,Amazon!A:E,2,FALSE)</f>
        <v>94.19</v>
      </c>
      <c r="F94">
        <f>VLOOKUP(A94,NVIDIA!A:E,2,FALSE)</f>
        <v>6.75</v>
      </c>
      <c r="G94">
        <f>VLOOKUP(A94,'Meta(Facebook)'!A:E,2,FALSE)</f>
        <v>192.47</v>
      </c>
      <c r="H94" s="2">
        <f>VLOOKUP(A94,'Samsung 005930'!A:E,2,FALSE)</f>
        <v>54200</v>
      </c>
      <c r="I94">
        <f>VLOOKUP(A94,Tesla!A:E,2,FALSE)</f>
        <v>44.53</v>
      </c>
      <c r="J94">
        <f>VLOOKUP(A94,Intel!A:E,2,FALSE)</f>
        <v>55.52</v>
      </c>
      <c r="K94">
        <f>VLOOKUP(A94,Tencent!A:E,2,FALSE)</f>
        <v>355.84</v>
      </c>
    </row>
    <row r="95" spans="1:11" x14ac:dyDescent="0.5">
      <c r="A95" s="3" t="str" cm="1">
        <f t="array" ref="A95">INDEX(Tencent!$A$2:$A$173,ROWS(Tencent!$A$2:$A$173)-ROW(A94)+1)</f>
        <v>03/01/2020</v>
      </c>
      <c r="B95">
        <f>VLOOKUP(A95,Apple!A:E,2,FALSE)</f>
        <v>63.57</v>
      </c>
      <c r="C95">
        <f>VLOOKUP(A95,Microsoft!A:E,2,FALSE)</f>
        <v>157.71</v>
      </c>
      <c r="D95">
        <f>VLOOKUP(A95,Google!A:E,2,FALSE)</f>
        <v>58.1</v>
      </c>
      <c r="E95">
        <f>VLOOKUP(A95,Amazon!A:E,2,FALSE)</f>
        <v>97.49</v>
      </c>
      <c r="F95">
        <f>VLOOKUP(A95,NVIDIA!A:E,2,FALSE)</f>
        <v>6.59</v>
      </c>
      <c r="G95">
        <f>VLOOKUP(A95,'Meta(Facebook)'!A:E,2,FALSE)</f>
        <v>166.8</v>
      </c>
      <c r="H95" s="2">
        <f>VLOOKUP(A95,'Samsung 005930'!A:E,2,FALSE)</f>
        <v>47750</v>
      </c>
      <c r="I95">
        <f>VLOOKUP(A95,Tesla!A:E,2,FALSE)</f>
        <v>34.93</v>
      </c>
      <c r="J95">
        <f>VLOOKUP(A95,Intel!A:E,2,FALSE)</f>
        <v>54.12</v>
      </c>
      <c r="K95">
        <f>VLOOKUP(A95,Tencent!A:E,2,FALSE)</f>
        <v>350.49</v>
      </c>
    </row>
    <row r="96" spans="1:11" x14ac:dyDescent="0.5">
      <c r="A96" s="3" t="str" cm="1">
        <f t="array" ref="A96">INDEX(Tencent!$A$2:$A$173,ROWS(Tencent!$A$2:$A$173)-ROW(A95)+1)</f>
        <v>04/01/2020</v>
      </c>
      <c r="B96">
        <f>VLOOKUP(A96,Apple!A:E,2,FALSE)</f>
        <v>73.45</v>
      </c>
      <c r="C96">
        <f>VLOOKUP(A96,Microsoft!A:E,2,FALSE)</f>
        <v>179.21</v>
      </c>
      <c r="D96">
        <f>VLOOKUP(A96,Google!A:E,2,FALSE)</f>
        <v>67.33</v>
      </c>
      <c r="E96">
        <f>VLOOKUP(A96,Amazon!A:E,2,FALSE)</f>
        <v>123.7</v>
      </c>
      <c r="F96">
        <f>VLOOKUP(A96,NVIDIA!A:E,2,FALSE)</f>
        <v>7.31</v>
      </c>
      <c r="G96">
        <f>VLOOKUP(A96,'Meta(Facebook)'!A:E,2,FALSE)</f>
        <v>204.71</v>
      </c>
      <c r="H96" s="2">
        <f>VLOOKUP(A96,'Samsung 005930'!A:E,2,FALSE)</f>
        <v>50000</v>
      </c>
      <c r="I96">
        <f>VLOOKUP(A96,Tesla!A:E,2,FALSE)</f>
        <v>52.13</v>
      </c>
      <c r="J96">
        <f>VLOOKUP(A96,Intel!A:E,2,FALSE)</f>
        <v>59.98</v>
      </c>
      <c r="K96">
        <f>VLOOKUP(A96,Tencent!A:E,2,FALSE)</f>
        <v>384.41</v>
      </c>
    </row>
    <row r="97" spans="1:11" x14ac:dyDescent="0.5">
      <c r="A97" s="3" t="str" cm="1">
        <f t="array" ref="A97">INDEX(Tencent!$A$2:$A$173,ROWS(Tencent!$A$2:$A$173)-ROW(A96)+1)</f>
        <v>05/01/2020</v>
      </c>
      <c r="B97">
        <f>VLOOKUP(A97,Apple!A:E,2,FALSE)</f>
        <v>79.48</v>
      </c>
      <c r="C97">
        <f>VLOOKUP(A97,Microsoft!A:E,2,FALSE)</f>
        <v>183.25</v>
      </c>
      <c r="D97">
        <f>VLOOKUP(A97,Google!A:E,2,FALSE)</f>
        <v>71.680000000000007</v>
      </c>
      <c r="E97">
        <f>VLOOKUP(A97,Amazon!A:E,2,FALSE)</f>
        <v>122.12</v>
      </c>
      <c r="F97">
        <f>VLOOKUP(A97,NVIDIA!A:E,2,FALSE)</f>
        <v>8.8800000000000008</v>
      </c>
      <c r="G97">
        <f>VLOOKUP(A97,'Meta(Facebook)'!A:E,2,FALSE)</f>
        <v>225.09</v>
      </c>
      <c r="H97" s="2">
        <f>VLOOKUP(A97,'Samsung 005930'!A:E,2,FALSE)</f>
        <v>50700</v>
      </c>
      <c r="I97">
        <f>VLOOKUP(A97,Tesla!A:E,2,FALSE)</f>
        <v>55.67</v>
      </c>
      <c r="J97">
        <f>VLOOKUP(A97,Intel!A:E,2,FALSE)</f>
        <v>62.93</v>
      </c>
      <c r="K97">
        <f>VLOOKUP(A97,Tencent!A:E,2,FALSE)</f>
        <v>378.33</v>
      </c>
    </row>
    <row r="98" spans="1:11" x14ac:dyDescent="0.5">
      <c r="A98" s="3" t="str" cm="1">
        <f t="array" ref="A98">INDEX(Tencent!$A$2:$A$173,ROWS(Tencent!$A$2:$A$173)-ROW(A97)+1)</f>
        <v>06/01/2020</v>
      </c>
      <c r="B98">
        <f>VLOOKUP(A98,Apple!A:E,2,FALSE)</f>
        <v>91.2</v>
      </c>
      <c r="C98">
        <f>VLOOKUP(A98,Microsoft!A:E,2,FALSE)</f>
        <v>203.51</v>
      </c>
      <c r="D98">
        <f>VLOOKUP(A98,Google!A:E,2,FALSE)</f>
        <v>70.900000000000006</v>
      </c>
      <c r="E98">
        <f>VLOOKUP(A98,Amazon!A:E,2,FALSE)</f>
        <v>137.94</v>
      </c>
      <c r="F98">
        <f>VLOOKUP(A98,NVIDIA!A:E,2,FALSE)</f>
        <v>9.5</v>
      </c>
      <c r="G98">
        <f>VLOOKUP(A98,'Meta(Facebook)'!A:E,2,FALSE)</f>
        <v>227.07</v>
      </c>
      <c r="H98" s="2">
        <f>VLOOKUP(A98,'Samsung 005930'!A:E,2,FALSE)</f>
        <v>52800</v>
      </c>
      <c r="I98">
        <f>VLOOKUP(A98,Tesla!A:E,2,FALSE)</f>
        <v>71.989999999999995</v>
      </c>
      <c r="J98">
        <f>VLOOKUP(A98,Intel!A:E,2,FALSE)</f>
        <v>59.83</v>
      </c>
      <c r="K98">
        <f>VLOOKUP(A98,Tencent!A:E,2,FALSE)</f>
        <v>459.64</v>
      </c>
    </row>
    <row r="99" spans="1:11" x14ac:dyDescent="0.5">
      <c r="A99" s="3" t="str" cm="1">
        <f t="array" ref="A99">INDEX(Tencent!$A$2:$A$173,ROWS(Tencent!$A$2:$A$173)-ROW(A98)+1)</f>
        <v>07/01/2020</v>
      </c>
      <c r="B99">
        <f>VLOOKUP(A99,Apple!A:E,2,FALSE)</f>
        <v>106.26</v>
      </c>
      <c r="C99">
        <f>VLOOKUP(A99,Microsoft!A:E,2,FALSE)</f>
        <v>205.01</v>
      </c>
      <c r="D99">
        <f>VLOOKUP(A99,Google!A:E,2,FALSE)</f>
        <v>74.400000000000006</v>
      </c>
      <c r="E99">
        <f>VLOOKUP(A99,Amazon!A:E,2,FALSE)</f>
        <v>158.22999999999999</v>
      </c>
      <c r="F99">
        <f>VLOOKUP(A99,NVIDIA!A:E,2,FALSE)</f>
        <v>10.61</v>
      </c>
      <c r="G99">
        <f>VLOOKUP(A99,'Meta(Facebook)'!A:E,2,FALSE)</f>
        <v>253.67</v>
      </c>
      <c r="H99" s="2">
        <f>VLOOKUP(A99,'Samsung 005930'!A:E,2,FALSE)</f>
        <v>57900</v>
      </c>
      <c r="I99">
        <f>VLOOKUP(A99,Tesla!A:E,2,FALSE)</f>
        <v>95.38</v>
      </c>
      <c r="J99">
        <f>VLOOKUP(A99,Intel!A:E,2,FALSE)</f>
        <v>47.73</v>
      </c>
      <c r="K99">
        <f>VLOOKUP(A99,Tencent!A:E,2,FALSE)</f>
        <v>492.27</v>
      </c>
    </row>
    <row r="100" spans="1:11" x14ac:dyDescent="0.5">
      <c r="A100" s="3" t="str" cm="1">
        <f t="array" ref="A100">INDEX(Tencent!$A$2:$A$173,ROWS(Tencent!$A$2:$A$173)-ROW(A99)+1)</f>
        <v>08/01/2020</v>
      </c>
      <c r="B100">
        <f>VLOOKUP(A100,Apple!A:E,2,FALSE)</f>
        <v>129.04</v>
      </c>
      <c r="C100">
        <f>VLOOKUP(A100,Microsoft!A:E,2,FALSE)</f>
        <v>225.53</v>
      </c>
      <c r="D100">
        <f>VLOOKUP(A100,Google!A:E,2,FALSE)</f>
        <v>81.48</v>
      </c>
      <c r="E100">
        <f>VLOOKUP(A100,Amazon!A:E,2,FALSE)</f>
        <v>172.55</v>
      </c>
      <c r="F100">
        <f>VLOOKUP(A100,NVIDIA!A:E,2,FALSE)</f>
        <v>13.37</v>
      </c>
      <c r="G100">
        <f>VLOOKUP(A100,'Meta(Facebook)'!A:E,2,FALSE)</f>
        <v>293.2</v>
      </c>
      <c r="H100" s="2">
        <f>VLOOKUP(A100,'Samsung 005930'!A:E,2,FALSE)</f>
        <v>54000</v>
      </c>
      <c r="I100">
        <f>VLOOKUP(A100,Tesla!A:E,2,FALSE)</f>
        <v>166.11</v>
      </c>
      <c r="J100">
        <f>VLOOKUP(A100,Intel!A:E,2,FALSE)</f>
        <v>50.95</v>
      </c>
      <c r="K100">
        <f>VLOOKUP(A100,Tencent!A:E,2,FALSE)</f>
        <v>489.04</v>
      </c>
    </row>
    <row r="101" spans="1:11" x14ac:dyDescent="0.5">
      <c r="A101" s="3" t="str" cm="1">
        <f t="array" ref="A101">INDEX(Tencent!$A$2:$A$173,ROWS(Tencent!$A$2:$A$173)-ROW(A100)+1)</f>
        <v>09/01/2020</v>
      </c>
      <c r="B101">
        <f>VLOOKUP(A101,Apple!A:E,2,FALSE)</f>
        <v>115.81</v>
      </c>
      <c r="C101">
        <f>VLOOKUP(A101,Microsoft!A:E,2,FALSE)</f>
        <v>210.33</v>
      </c>
      <c r="D101">
        <f>VLOOKUP(A101,Google!A:E,2,FALSE)</f>
        <v>73.28</v>
      </c>
      <c r="E101">
        <f>VLOOKUP(A101,Amazon!A:E,2,FALSE)</f>
        <v>157.44</v>
      </c>
      <c r="F101">
        <f>VLOOKUP(A101,NVIDIA!A:E,2,FALSE)</f>
        <v>13.53</v>
      </c>
      <c r="G101">
        <f>VLOOKUP(A101,'Meta(Facebook)'!A:E,2,FALSE)</f>
        <v>261.89999999999998</v>
      </c>
      <c r="H101" s="2">
        <f>VLOOKUP(A101,'Samsung 005930'!A:E,2,FALSE)</f>
        <v>58200</v>
      </c>
      <c r="I101">
        <f>VLOOKUP(A101,Tesla!A:E,2,FALSE)</f>
        <v>143</v>
      </c>
      <c r="J101">
        <f>VLOOKUP(A101,Intel!A:E,2,FALSE)</f>
        <v>51.78</v>
      </c>
      <c r="K101">
        <f>VLOOKUP(A101,Tencent!A:E,2,FALSE)</f>
        <v>471.53</v>
      </c>
    </row>
    <row r="102" spans="1:11" x14ac:dyDescent="0.5">
      <c r="A102" s="3" t="str" cm="1">
        <f t="array" ref="A102">INDEX(Tencent!$A$2:$A$173,ROWS(Tencent!$A$2:$A$173)-ROW(A101)+1)</f>
        <v>10/01/2020</v>
      </c>
      <c r="B102">
        <f>VLOOKUP(A102,Apple!A:E,2,FALSE)</f>
        <v>108.86</v>
      </c>
      <c r="C102">
        <f>VLOOKUP(A102,Microsoft!A:E,2,FALSE)</f>
        <v>202.47</v>
      </c>
      <c r="D102">
        <f>VLOOKUP(A102,Google!A:E,2,FALSE)</f>
        <v>80.81</v>
      </c>
      <c r="E102">
        <f>VLOOKUP(A102,Amazon!A:E,2,FALSE)</f>
        <v>151.81</v>
      </c>
      <c r="F102">
        <f>VLOOKUP(A102,NVIDIA!A:E,2,FALSE)</f>
        <v>12.53</v>
      </c>
      <c r="G102">
        <f>VLOOKUP(A102,'Meta(Facebook)'!A:E,2,FALSE)</f>
        <v>263.11</v>
      </c>
      <c r="H102" s="2">
        <f>VLOOKUP(A102,'Samsung 005930'!A:E,2,FALSE)</f>
        <v>56600</v>
      </c>
      <c r="I102">
        <f>VLOOKUP(A102,Tesla!A:E,2,FALSE)</f>
        <v>129.35</v>
      </c>
      <c r="J102">
        <f>VLOOKUP(A102,Intel!A:E,2,FALSE)</f>
        <v>44.28</v>
      </c>
      <c r="K102">
        <f>VLOOKUP(A102,Tencent!A:E,2,FALSE)</f>
        <v>544.82000000000005</v>
      </c>
    </row>
    <row r="103" spans="1:11" x14ac:dyDescent="0.5">
      <c r="A103" s="3" t="str" cm="1">
        <f t="array" ref="A103">INDEX(Tencent!$A$2:$A$173,ROWS(Tencent!$A$2:$A$173)-ROW(A102)+1)</f>
        <v>11/01/2020</v>
      </c>
      <c r="B103">
        <f>VLOOKUP(A103,Apple!A:E,2,FALSE)</f>
        <v>119.05</v>
      </c>
      <c r="C103">
        <f>VLOOKUP(A103,Microsoft!A:E,2,FALSE)</f>
        <v>214.07</v>
      </c>
      <c r="D103">
        <f>VLOOKUP(A103,Google!A:E,2,FALSE)</f>
        <v>87.72</v>
      </c>
      <c r="E103">
        <f>VLOOKUP(A103,Amazon!A:E,2,FALSE)</f>
        <v>158.4</v>
      </c>
      <c r="F103">
        <f>VLOOKUP(A103,NVIDIA!A:E,2,FALSE)</f>
        <v>13.4</v>
      </c>
      <c r="G103">
        <f>VLOOKUP(A103,'Meta(Facebook)'!A:E,2,FALSE)</f>
        <v>276.97000000000003</v>
      </c>
      <c r="H103" s="2">
        <f>VLOOKUP(A103,'Samsung 005930'!A:E,2,FALSE)</f>
        <v>66700</v>
      </c>
      <c r="I103">
        <f>VLOOKUP(A103,Tesla!A:E,2,FALSE)</f>
        <v>189.2</v>
      </c>
      <c r="J103">
        <f>VLOOKUP(A103,Intel!A:E,2,FALSE)</f>
        <v>48.35</v>
      </c>
      <c r="K103">
        <f>VLOOKUP(A103,Tencent!A:E,2,FALSE)</f>
        <v>519.01</v>
      </c>
    </row>
    <row r="104" spans="1:11" x14ac:dyDescent="0.5">
      <c r="A104" s="3" t="str" cm="1">
        <f t="array" ref="A104">INDEX(Tencent!$A$2:$A$173,ROWS(Tencent!$A$2:$A$173)-ROW(A103)+1)</f>
        <v>12/01/2020</v>
      </c>
      <c r="B104">
        <f>VLOOKUP(A104,Apple!A:E,2,FALSE)</f>
        <v>132.69</v>
      </c>
      <c r="C104">
        <f>VLOOKUP(A104,Microsoft!A:E,2,FALSE)</f>
        <v>222.42</v>
      </c>
      <c r="D104">
        <f>VLOOKUP(A104,Google!A:E,2,FALSE)</f>
        <v>87.63</v>
      </c>
      <c r="E104">
        <f>VLOOKUP(A104,Amazon!A:E,2,FALSE)</f>
        <v>162.85</v>
      </c>
      <c r="F104">
        <f>VLOOKUP(A104,NVIDIA!A:E,2,FALSE)</f>
        <v>13.06</v>
      </c>
      <c r="G104">
        <f>VLOOKUP(A104,'Meta(Facebook)'!A:E,2,FALSE)</f>
        <v>273.16000000000003</v>
      </c>
      <c r="H104" s="2">
        <f>VLOOKUP(A104,'Samsung 005930'!A:E,2,FALSE)</f>
        <v>81000</v>
      </c>
      <c r="I104">
        <f>VLOOKUP(A104,Tesla!A:E,2,FALSE)</f>
        <v>235.22</v>
      </c>
      <c r="J104">
        <f>VLOOKUP(A104,Intel!A:E,2,FALSE)</f>
        <v>49.82</v>
      </c>
      <c r="K104">
        <f>VLOOKUP(A104,Tencent!A:E,2,FALSE)</f>
        <v>519.92999999999995</v>
      </c>
    </row>
    <row r="105" spans="1:11" x14ac:dyDescent="0.5">
      <c r="A105" s="3" t="str" cm="1">
        <f t="array" ref="A105">INDEX(Tencent!$A$2:$A$173,ROWS(Tencent!$A$2:$A$173)-ROW(A104)+1)</f>
        <v>01/01/2021</v>
      </c>
      <c r="B105">
        <f>VLOOKUP(A105,Apple!A:E,2,FALSE)</f>
        <v>131.96</v>
      </c>
      <c r="C105">
        <f>VLOOKUP(A105,Microsoft!A:E,2,FALSE)</f>
        <v>231.96</v>
      </c>
      <c r="D105">
        <f>VLOOKUP(A105,Google!A:E,2,FALSE)</f>
        <v>91.37</v>
      </c>
      <c r="E105">
        <f>VLOOKUP(A105,Amazon!A:E,2,FALSE)</f>
        <v>160.31</v>
      </c>
      <c r="F105">
        <f>VLOOKUP(A105,NVIDIA!A:E,2,FALSE)</f>
        <v>12.99</v>
      </c>
      <c r="G105">
        <f>VLOOKUP(A105,'Meta(Facebook)'!A:E,2,FALSE)</f>
        <v>258.33</v>
      </c>
      <c r="H105" s="2">
        <f>VLOOKUP(A105,'Samsung 005930'!A:E,2,FALSE)</f>
        <v>82000</v>
      </c>
      <c r="I105">
        <f>VLOOKUP(A105,Tesla!A:E,2,FALSE)</f>
        <v>264.51</v>
      </c>
      <c r="J105">
        <f>VLOOKUP(A105,Intel!A:E,2,FALSE)</f>
        <v>55.51</v>
      </c>
      <c r="K105">
        <f>VLOOKUP(A105,Tencent!A:E,2,FALSE)</f>
        <v>628.24</v>
      </c>
    </row>
    <row r="106" spans="1:11" x14ac:dyDescent="0.5">
      <c r="A106" s="3" t="str" cm="1">
        <f t="array" ref="A106">INDEX(Tencent!$A$2:$A$173,ROWS(Tencent!$A$2:$A$173)-ROW(A105)+1)</f>
        <v>02/01/2021</v>
      </c>
      <c r="B106">
        <f>VLOOKUP(A106,Apple!A:E,2,FALSE)</f>
        <v>121.26</v>
      </c>
      <c r="C106">
        <f>VLOOKUP(A106,Microsoft!A:E,2,FALSE)</f>
        <v>232.38</v>
      </c>
      <c r="D106">
        <f>VLOOKUP(A106,Google!A:E,2,FALSE)</f>
        <v>101.1</v>
      </c>
      <c r="E106">
        <f>VLOOKUP(A106,Amazon!A:E,2,FALSE)</f>
        <v>154.65</v>
      </c>
      <c r="F106">
        <f>VLOOKUP(A106,NVIDIA!A:E,2,FALSE)</f>
        <v>13.71</v>
      </c>
      <c r="G106">
        <f>VLOOKUP(A106,'Meta(Facebook)'!A:E,2,FALSE)</f>
        <v>257.62</v>
      </c>
      <c r="H106" s="2">
        <f>VLOOKUP(A106,'Samsung 005930'!A:E,2,FALSE)</f>
        <v>82500</v>
      </c>
      <c r="I106">
        <f>VLOOKUP(A106,Tesla!A:E,2,FALSE)</f>
        <v>225.17</v>
      </c>
      <c r="J106">
        <f>VLOOKUP(A106,Intel!A:E,2,FALSE)</f>
        <v>60.78</v>
      </c>
      <c r="K106">
        <f>VLOOKUP(A106,Tencent!A:E,2,FALSE)</f>
        <v>610.73</v>
      </c>
    </row>
    <row r="107" spans="1:11" x14ac:dyDescent="0.5">
      <c r="A107" s="3" t="str" cm="1">
        <f t="array" ref="A107">INDEX(Tencent!$A$2:$A$173,ROWS(Tencent!$A$2:$A$173)-ROW(A106)+1)</f>
        <v>03/01/2021</v>
      </c>
      <c r="B107">
        <f>VLOOKUP(A107,Apple!A:E,2,FALSE)</f>
        <v>122.15</v>
      </c>
      <c r="C107">
        <f>VLOOKUP(A107,Microsoft!A:E,2,FALSE)</f>
        <v>235.77</v>
      </c>
      <c r="D107">
        <f>VLOOKUP(A107,Google!A:E,2,FALSE)</f>
        <v>103.13</v>
      </c>
      <c r="E107">
        <f>VLOOKUP(A107,Amazon!A:E,2,FALSE)</f>
        <v>154.69999999999999</v>
      </c>
      <c r="F107">
        <f>VLOOKUP(A107,NVIDIA!A:E,2,FALSE)</f>
        <v>13.35</v>
      </c>
      <c r="G107">
        <f>VLOOKUP(A107,'Meta(Facebook)'!A:E,2,FALSE)</f>
        <v>294.52999999999997</v>
      </c>
      <c r="H107" s="2">
        <f>VLOOKUP(A107,'Samsung 005930'!A:E,2,FALSE)</f>
        <v>81400</v>
      </c>
      <c r="I107">
        <f>VLOOKUP(A107,Tesla!A:E,2,FALSE)</f>
        <v>222.64</v>
      </c>
      <c r="J107">
        <f>VLOOKUP(A107,Intel!A:E,2,FALSE)</f>
        <v>64</v>
      </c>
      <c r="K107">
        <f>VLOOKUP(A107,Tencent!A:E,2,FALSE)</f>
        <v>562.33000000000004</v>
      </c>
    </row>
    <row r="108" spans="1:11" x14ac:dyDescent="0.5">
      <c r="A108" s="3" t="str" cm="1">
        <f t="array" ref="A108">INDEX(Tencent!$A$2:$A$173,ROWS(Tencent!$A$2:$A$173)-ROW(A107)+1)</f>
        <v>04/01/2021</v>
      </c>
      <c r="B108">
        <f>VLOOKUP(A108,Apple!A:E,2,FALSE)</f>
        <v>131.46</v>
      </c>
      <c r="C108">
        <f>VLOOKUP(A108,Microsoft!A:E,2,FALSE)</f>
        <v>252.18</v>
      </c>
      <c r="D108">
        <f>VLOOKUP(A108,Google!A:E,2,FALSE)</f>
        <v>117.68</v>
      </c>
      <c r="E108">
        <f>VLOOKUP(A108,Amazon!A:E,2,FALSE)</f>
        <v>173.37</v>
      </c>
      <c r="F108">
        <f>VLOOKUP(A108,NVIDIA!A:E,2,FALSE)</f>
        <v>15.01</v>
      </c>
      <c r="G108">
        <f>VLOOKUP(A108,'Meta(Facebook)'!A:E,2,FALSE)</f>
        <v>325.08</v>
      </c>
      <c r="H108" s="2">
        <f>VLOOKUP(A108,'Samsung 005930'!A:E,2,FALSE)</f>
        <v>81500</v>
      </c>
      <c r="I108">
        <f>VLOOKUP(A108,Tesla!A:E,2,FALSE)</f>
        <v>236.48</v>
      </c>
      <c r="J108">
        <f>VLOOKUP(A108,Intel!A:E,2,FALSE)</f>
        <v>57.53</v>
      </c>
      <c r="K108">
        <f>VLOOKUP(A108,Tencent!A:E,2,FALSE)</f>
        <v>574.32000000000005</v>
      </c>
    </row>
    <row r="109" spans="1:11" x14ac:dyDescent="0.5">
      <c r="A109" s="3" t="str" cm="1">
        <f t="array" ref="A109">INDEX(Tencent!$A$2:$A$173,ROWS(Tencent!$A$2:$A$173)-ROW(A108)+1)</f>
        <v>05/01/2021</v>
      </c>
      <c r="B109">
        <f>VLOOKUP(A109,Apple!A:E,2,FALSE)</f>
        <v>124.61</v>
      </c>
      <c r="C109">
        <f>VLOOKUP(A109,Microsoft!A:E,2,FALSE)</f>
        <v>249.68</v>
      </c>
      <c r="D109">
        <f>VLOOKUP(A109,Google!A:E,2,FALSE)</f>
        <v>117.84</v>
      </c>
      <c r="E109">
        <f>VLOOKUP(A109,Amazon!A:E,2,FALSE)</f>
        <v>161.15</v>
      </c>
      <c r="F109">
        <f>VLOOKUP(A109,NVIDIA!A:E,2,FALSE)</f>
        <v>16.239999999999998</v>
      </c>
      <c r="G109">
        <f>VLOOKUP(A109,'Meta(Facebook)'!A:E,2,FALSE)</f>
        <v>328.73</v>
      </c>
      <c r="H109" s="2">
        <f>VLOOKUP(A109,'Samsung 005930'!A:E,2,FALSE)</f>
        <v>80500</v>
      </c>
      <c r="I109">
        <f>VLOOKUP(A109,Tesla!A:E,2,FALSE)</f>
        <v>208.41</v>
      </c>
      <c r="J109">
        <f>VLOOKUP(A109,Intel!A:E,2,FALSE)</f>
        <v>57.12</v>
      </c>
      <c r="K109">
        <f>VLOOKUP(A109,Tencent!A:E,2,FALSE)</f>
        <v>570.63</v>
      </c>
    </row>
    <row r="110" spans="1:11" x14ac:dyDescent="0.5">
      <c r="A110" s="3" t="str" cm="1">
        <f t="array" ref="A110">INDEX(Tencent!$A$2:$A$173,ROWS(Tencent!$A$2:$A$173)-ROW(A109)+1)</f>
        <v>06/01/2021</v>
      </c>
      <c r="B110">
        <f>VLOOKUP(A110,Apple!A:E,2,FALSE)</f>
        <v>136.96</v>
      </c>
      <c r="C110">
        <f>VLOOKUP(A110,Microsoft!A:E,2,FALSE)</f>
        <v>270.89999999999998</v>
      </c>
      <c r="D110">
        <f>VLOOKUP(A110,Google!A:E,2,FALSE)</f>
        <v>122.09</v>
      </c>
      <c r="E110">
        <f>VLOOKUP(A110,Amazon!A:E,2,FALSE)</f>
        <v>172.01</v>
      </c>
      <c r="F110">
        <f>VLOOKUP(A110,NVIDIA!A:E,2,FALSE)</f>
        <v>20</v>
      </c>
      <c r="G110">
        <f>VLOOKUP(A110,'Meta(Facebook)'!A:E,2,FALSE)</f>
        <v>347.71</v>
      </c>
      <c r="H110" s="2">
        <f>VLOOKUP(A110,'Samsung 005930'!A:E,2,FALSE)</f>
        <v>80700</v>
      </c>
      <c r="I110">
        <f>VLOOKUP(A110,Tesla!A:E,2,FALSE)</f>
        <v>226.57</v>
      </c>
      <c r="J110">
        <f>VLOOKUP(A110,Intel!A:E,2,FALSE)</f>
        <v>56.14</v>
      </c>
      <c r="K110">
        <f>VLOOKUP(A110,Tencent!A:E,2,FALSE)</f>
        <v>538.36</v>
      </c>
    </row>
    <row r="111" spans="1:11" x14ac:dyDescent="0.5">
      <c r="A111" s="3" t="str" cm="1">
        <f t="array" ref="A111">INDEX(Tencent!$A$2:$A$173,ROWS(Tencent!$A$2:$A$173)-ROW(A110)+1)</f>
        <v>07/01/2021</v>
      </c>
      <c r="B111">
        <f>VLOOKUP(A111,Apple!A:E,2,FALSE)</f>
        <v>145.86000000000001</v>
      </c>
      <c r="C111">
        <f>VLOOKUP(A111,Microsoft!A:E,2,FALSE)</f>
        <v>284.91000000000003</v>
      </c>
      <c r="D111">
        <f>VLOOKUP(A111,Google!A:E,2,FALSE)</f>
        <v>134.72999999999999</v>
      </c>
      <c r="E111">
        <f>VLOOKUP(A111,Amazon!A:E,2,FALSE)</f>
        <v>166.38</v>
      </c>
      <c r="F111">
        <f>VLOOKUP(A111,NVIDIA!A:E,2,FALSE)</f>
        <v>19.5</v>
      </c>
      <c r="G111">
        <f>VLOOKUP(A111,'Meta(Facebook)'!A:E,2,FALSE)</f>
        <v>356.3</v>
      </c>
      <c r="H111" s="2">
        <f>VLOOKUP(A111,'Samsung 005930'!A:E,2,FALSE)</f>
        <v>78500</v>
      </c>
      <c r="I111">
        <f>VLOOKUP(A111,Tesla!A:E,2,FALSE)</f>
        <v>229.07</v>
      </c>
      <c r="J111">
        <f>VLOOKUP(A111,Intel!A:E,2,FALSE)</f>
        <v>53.72</v>
      </c>
      <c r="K111">
        <f>VLOOKUP(A111,Tencent!A:E,2,FALSE)</f>
        <v>441.57</v>
      </c>
    </row>
    <row r="112" spans="1:11" x14ac:dyDescent="0.5">
      <c r="A112" s="3" t="str" cm="1">
        <f t="array" ref="A112">INDEX(Tencent!$A$2:$A$173,ROWS(Tencent!$A$2:$A$173)-ROW(A111)+1)</f>
        <v>08/01/2021</v>
      </c>
      <c r="B112">
        <f>VLOOKUP(A112,Apple!A:E,2,FALSE)</f>
        <v>151.83000000000001</v>
      </c>
      <c r="C112">
        <f>VLOOKUP(A112,Microsoft!A:E,2,FALSE)</f>
        <v>301.88</v>
      </c>
      <c r="D112">
        <f>VLOOKUP(A112,Google!A:E,2,FALSE)</f>
        <v>144.69999999999999</v>
      </c>
      <c r="E112">
        <f>VLOOKUP(A112,Amazon!A:E,2,FALSE)</f>
        <v>173.54</v>
      </c>
      <c r="F112">
        <f>VLOOKUP(A112,NVIDIA!A:E,2,FALSE)</f>
        <v>22.39</v>
      </c>
      <c r="G112">
        <f>VLOOKUP(A112,'Meta(Facebook)'!A:E,2,FALSE)</f>
        <v>379.38</v>
      </c>
      <c r="H112" s="2">
        <f>VLOOKUP(A112,'Samsung 005930'!A:E,2,FALSE)</f>
        <v>76700</v>
      </c>
      <c r="I112">
        <f>VLOOKUP(A112,Tesla!A:E,2,FALSE)</f>
        <v>245.24</v>
      </c>
      <c r="J112">
        <f>VLOOKUP(A112,Intel!A:E,2,FALSE)</f>
        <v>54.06</v>
      </c>
      <c r="K112">
        <f>VLOOKUP(A112,Tencent!A:E,2,FALSE)</f>
        <v>443.6</v>
      </c>
    </row>
    <row r="113" spans="1:11" x14ac:dyDescent="0.5">
      <c r="A113" s="3" t="str" cm="1">
        <f t="array" ref="A113">INDEX(Tencent!$A$2:$A$173,ROWS(Tencent!$A$2:$A$173)-ROW(A112)+1)</f>
        <v>09/01/2021</v>
      </c>
      <c r="B113">
        <f>VLOOKUP(A113,Apple!A:E,2,FALSE)</f>
        <v>141.5</v>
      </c>
      <c r="C113">
        <f>VLOOKUP(A113,Microsoft!A:E,2,FALSE)</f>
        <v>281.92</v>
      </c>
      <c r="D113">
        <f>VLOOKUP(A113,Google!A:E,2,FALSE)</f>
        <v>133.68</v>
      </c>
      <c r="E113">
        <f>VLOOKUP(A113,Amazon!A:E,2,FALSE)</f>
        <v>164.25</v>
      </c>
      <c r="F113">
        <f>VLOOKUP(A113,NVIDIA!A:E,2,FALSE)</f>
        <v>20.72</v>
      </c>
      <c r="G113">
        <f>VLOOKUP(A113,'Meta(Facebook)'!A:E,2,FALSE)</f>
        <v>339.39</v>
      </c>
      <c r="H113" s="2">
        <f>VLOOKUP(A113,'Samsung 005930'!A:E,2,FALSE)</f>
        <v>74100</v>
      </c>
      <c r="I113">
        <f>VLOOKUP(A113,Tesla!A:E,2,FALSE)</f>
        <v>258.49</v>
      </c>
      <c r="J113">
        <f>VLOOKUP(A113,Intel!A:E,2,FALSE)</f>
        <v>53.28</v>
      </c>
      <c r="K113">
        <f>VLOOKUP(A113,Tencent!A:E,2,FALSE)</f>
        <v>425.34</v>
      </c>
    </row>
    <row r="114" spans="1:11" x14ac:dyDescent="0.5">
      <c r="A114" s="3" t="str" cm="1">
        <f t="array" ref="A114">INDEX(Tencent!$A$2:$A$173,ROWS(Tencent!$A$2:$A$173)-ROW(A113)+1)</f>
        <v>10/01/2021</v>
      </c>
      <c r="B114">
        <f>VLOOKUP(A114,Apple!A:E,2,FALSE)</f>
        <v>149.80000000000001</v>
      </c>
      <c r="C114">
        <f>VLOOKUP(A114,Microsoft!A:E,2,FALSE)</f>
        <v>331.62</v>
      </c>
      <c r="D114">
        <f>VLOOKUP(A114,Google!A:E,2,FALSE)</f>
        <v>148.05000000000001</v>
      </c>
      <c r="E114">
        <f>VLOOKUP(A114,Amazon!A:E,2,FALSE)</f>
        <v>168.62</v>
      </c>
      <c r="F114">
        <f>VLOOKUP(A114,NVIDIA!A:E,2,FALSE)</f>
        <v>25.57</v>
      </c>
      <c r="G114">
        <f>VLOOKUP(A114,'Meta(Facebook)'!A:E,2,FALSE)</f>
        <v>323.57</v>
      </c>
      <c r="H114" s="2">
        <f>VLOOKUP(A114,'Samsung 005930'!A:E,2,FALSE)</f>
        <v>69800</v>
      </c>
      <c r="I114">
        <f>VLOOKUP(A114,Tesla!A:E,2,FALSE)</f>
        <v>371.33</v>
      </c>
      <c r="J114">
        <f>VLOOKUP(A114,Intel!A:E,2,FALSE)</f>
        <v>49</v>
      </c>
      <c r="K114">
        <f>VLOOKUP(A114,Tencent!A:E,2,FALSE)</f>
        <v>443.41</v>
      </c>
    </row>
    <row r="115" spans="1:11" x14ac:dyDescent="0.5">
      <c r="A115" s="3" t="str" cm="1">
        <f t="array" ref="A115">INDEX(Tencent!$A$2:$A$173,ROWS(Tencent!$A$2:$A$173)-ROW(A114)+1)</f>
        <v>11/01/2021</v>
      </c>
      <c r="B115">
        <f>VLOOKUP(A115,Apple!A:E,2,FALSE)</f>
        <v>165.3</v>
      </c>
      <c r="C115">
        <f>VLOOKUP(A115,Microsoft!A:E,2,FALSE)</f>
        <v>330.59</v>
      </c>
      <c r="D115">
        <f>VLOOKUP(A115,Google!A:E,2,FALSE)</f>
        <v>141.9</v>
      </c>
      <c r="E115">
        <f>VLOOKUP(A115,Amazon!A:E,2,FALSE)</f>
        <v>175.35</v>
      </c>
      <c r="F115">
        <f>VLOOKUP(A115,NVIDIA!A:E,2,FALSE)</f>
        <v>32.68</v>
      </c>
      <c r="G115">
        <f>VLOOKUP(A115,'Meta(Facebook)'!A:E,2,FALSE)</f>
        <v>324.45999999999998</v>
      </c>
      <c r="H115" s="2">
        <f>VLOOKUP(A115,'Samsung 005930'!A:E,2,FALSE)</f>
        <v>71300</v>
      </c>
      <c r="I115">
        <f>VLOOKUP(A115,Tesla!A:E,2,FALSE)</f>
        <v>381.59</v>
      </c>
      <c r="J115">
        <f>VLOOKUP(A115,Intel!A:E,2,FALSE)</f>
        <v>49.2</v>
      </c>
      <c r="K115">
        <f>VLOOKUP(A115,Tencent!A:E,2,FALSE)</f>
        <v>423.5</v>
      </c>
    </row>
    <row r="116" spans="1:11" x14ac:dyDescent="0.5">
      <c r="A116" s="3" t="str" cm="1">
        <f t="array" ref="A116">INDEX(Tencent!$A$2:$A$173,ROWS(Tencent!$A$2:$A$173)-ROW(A115)+1)</f>
        <v>12/01/2021</v>
      </c>
      <c r="B116">
        <f>VLOOKUP(A116,Apple!A:E,2,FALSE)</f>
        <v>177.57</v>
      </c>
      <c r="C116">
        <f>VLOOKUP(A116,Microsoft!A:E,2,FALSE)</f>
        <v>336.32</v>
      </c>
      <c r="D116">
        <f>VLOOKUP(A116,Google!A:E,2,FALSE)</f>
        <v>144.85</v>
      </c>
      <c r="E116">
        <f>VLOOKUP(A116,Amazon!A:E,2,FALSE)</f>
        <v>166.72</v>
      </c>
      <c r="F116">
        <f>VLOOKUP(A116,NVIDIA!A:E,2,FALSE)</f>
        <v>29.41</v>
      </c>
      <c r="G116">
        <f>VLOOKUP(A116,'Meta(Facebook)'!A:E,2,FALSE)</f>
        <v>336.35</v>
      </c>
      <c r="H116" s="2">
        <f>VLOOKUP(A116,'Samsung 005930'!A:E,2,FALSE)</f>
        <v>78300</v>
      </c>
      <c r="I116">
        <f>VLOOKUP(A116,Tesla!A:E,2,FALSE)</f>
        <v>352.26</v>
      </c>
      <c r="J116">
        <f>VLOOKUP(A116,Intel!A:E,2,FALSE)</f>
        <v>51.5</v>
      </c>
      <c r="K116">
        <f>VLOOKUP(A116,Tencent!A:E,2,FALSE)</f>
        <v>421.1</v>
      </c>
    </row>
    <row r="117" spans="1:11" x14ac:dyDescent="0.5">
      <c r="A117" s="3" t="str" cm="1">
        <f t="array" ref="A117">INDEX(Tencent!$A$2:$A$173,ROWS(Tencent!$A$2:$A$173)-ROW(A116)+1)</f>
        <v>01/01/2022</v>
      </c>
      <c r="B117">
        <f>VLOOKUP(A117,Apple!A:E,2,FALSE)</f>
        <v>174.78</v>
      </c>
      <c r="C117">
        <f>VLOOKUP(A117,Microsoft!A:E,2,FALSE)</f>
        <v>310.98</v>
      </c>
      <c r="D117">
        <f>VLOOKUP(A117,Google!A:E,2,FALSE)</f>
        <v>135.30000000000001</v>
      </c>
      <c r="E117">
        <f>VLOOKUP(A117,Amazon!A:E,2,FALSE)</f>
        <v>149.57</v>
      </c>
      <c r="F117">
        <f>VLOOKUP(A117,NVIDIA!A:E,2,FALSE)</f>
        <v>24.49</v>
      </c>
      <c r="G117">
        <f>VLOOKUP(A117,'Meta(Facebook)'!A:E,2,FALSE)</f>
        <v>313.26</v>
      </c>
      <c r="H117" s="2">
        <f>VLOOKUP(A117,'Samsung 005930'!A:E,2,FALSE)</f>
        <v>73300</v>
      </c>
      <c r="I117">
        <f>VLOOKUP(A117,Tesla!A:E,2,FALSE)</f>
        <v>312.24</v>
      </c>
      <c r="J117">
        <f>VLOOKUP(A117,Intel!A:E,2,FALSE)</f>
        <v>48.82</v>
      </c>
      <c r="K117">
        <f>VLOOKUP(A117,Tencent!A:E,2,FALSE)</f>
        <v>448.3</v>
      </c>
    </row>
    <row r="118" spans="1:11" x14ac:dyDescent="0.5">
      <c r="A118" s="3" t="str" cm="1">
        <f t="array" ref="A118">INDEX(Tencent!$A$2:$A$173,ROWS(Tencent!$A$2:$A$173)-ROW(A117)+1)</f>
        <v>02/01/2022</v>
      </c>
      <c r="B118">
        <f>VLOOKUP(A118,Apple!A:E,2,FALSE)</f>
        <v>165.12</v>
      </c>
      <c r="C118">
        <f>VLOOKUP(A118,Microsoft!A:E,2,FALSE)</f>
        <v>298.79000000000002</v>
      </c>
      <c r="D118">
        <f>VLOOKUP(A118,Google!A:E,2,FALSE)</f>
        <v>135.06</v>
      </c>
      <c r="E118">
        <f>VLOOKUP(A118,Amazon!A:E,2,FALSE)</f>
        <v>153.56</v>
      </c>
      <c r="F118">
        <f>VLOOKUP(A118,NVIDIA!A:E,2,FALSE)</f>
        <v>24.39</v>
      </c>
      <c r="G118">
        <f>VLOOKUP(A118,'Meta(Facebook)'!A:E,2,FALSE)</f>
        <v>211.03</v>
      </c>
      <c r="H118" s="2">
        <f>VLOOKUP(A118,'Samsung 005930'!A:E,2,FALSE)</f>
        <v>72100</v>
      </c>
      <c r="I118">
        <f>VLOOKUP(A118,Tesla!A:E,2,FALSE)</f>
        <v>290.14</v>
      </c>
      <c r="J118">
        <f>VLOOKUP(A118,Intel!A:E,2,FALSE)</f>
        <v>47.7</v>
      </c>
      <c r="K118">
        <f>VLOOKUP(A118,Tencent!A:E,2,FALSE)</f>
        <v>400.05</v>
      </c>
    </row>
    <row r="119" spans="1:11" x14ac:dyDescent="0.5">
      <c r="A119" s="3" t="str" cm="1">
        <f t="array" ref="A119">INDEX(Tencent!$A$2:$A$173,ROWS(Tencent!$A$2:$A$173)-ROW(A118)+1)</f>
        <v>03/01/2022</v>
      </c>
      <c r="B119">
        <f>VLOOKUP(A119,Apple!A:E,2,FALSE)</f>
        <v>174.61</v>
      </c>
      <c r="C119">
        <f>VLOOKUP(A119,Microsoft!A:E,2,FALSE)</f>
        <v>308.31</v>
      </c>
      <c r="D119">
        <f>VLOOKUP(A119,Google!A:E,2,FALSE)</f>
        <v>139.07</v>
      </c>
      <c r="E119">
        <f>VLOOKUP(A119,Amazon!A:E,2,FALSE)</f>
        <v>163</v>
      </c>
      <c r="F119">
        <f>VLOOKUP(A119,NVIDIA!A:E,2,FALSE)</f>
        <v>27.29</v>
      </c>
      <c r="G119">
        <f>VLOOKUP(A119,'Meta(Facebook)'!A:E,2,FALSE)</f>
        <v>222.36</v>
      </c>
      <c r="H119" s="2">
        <f>VLOOKUP(A119,'Samsung 005930'!A:E,2,FALSE)</f>
        <v>69600</v>
      </c>
      <c r="I119">
        <f>VLOOKUP(A119,Tesla!A:E,2,FALSE)</f>
        <v>359.2</v>
      </c>
      <c r="J119">
        <f>VLOOKUP(A119,Intel!A:E,2,FALSE)</f>
        <v>49.56</v>
      </c>
      <c r="K119">
        <f>VLOOKUP(A119,Tencent!A:E,2,FALSE)</f>
        <v>355.41</v>
      </c>
    </row>
    <row r="120" spans="1:11" x14ac:dyDescent="0.5">
      <c r="A120" s="3" t="str" cm="1">
        <f t="array" ref="A120">INDEX(Tencent!$A$2:$A$173,ROWS(Tencent!$A$2:$A$173)-ROW(A119)+1)</f>
        <v>04/01/2022</v>
      </c>
      <c r="B120">
        <f>VLOOKUP(A120,Apple!A:E,2,FALSE)</f>
        <v>157.65</v>
      </c>
      <c r="C120">
        <f>VLOOKUP(A120,Microsoft!A:E,2,FALSE)</f>
        <v>277.52</v>
      </c>
      <c r="D120">
        <f>VLOOKUP(A120,Google!A:E,2,FALSE)</f>
        <v>114.11</v>
      </c>
      <c r="E120">
        <f>VLOOKUP(A120,Amazon!A:E,2,FALSE)</f>
        <v>124.28</v>
      </c>
      <c r="F120">
        <f>VLOOKUP(A120,NVIDIA!A:E,2,FALSE)</f>
        <v>18.55</v>
      </c>
      <c r="G120">
        <f>VLOOKUP(A120,'Meta(Facebook)'!A:E,2,FALSE)</f>
        <v>200.47</v>
      </c>
      <c r="H120" s="2">
        <f>VLOOKUP(A120,'Samsung 005930'!A:E,2,FALSE)</f>
        <v>67400</v>
      </c>
      <c r="I120">
        <f>VLOOKUP(A120,Tesla!A:E,2,FALSE)</f>
        <v>290.25</v>
      </c>
      <c r="J120">
        <f>VLOOKUP(A120,Intel!A:E,2,FALSE)</f>
        <v>43.59</v>
      </c>
      <c r="K120">
        <f>VLOOKUP(A120,Tencent!A:E,2,FALSE)</f>
        <v>358.45</v>
      </c>
    </row>
    <row r="121" spans="1:11" x14ac:dyDescent="0.5">
      <c r="A121" s="3" t="str" cm="1">
        <f t="array" ref="A121">INDEX(Tencent!$A$2:$A$173,ROWS(Tencent!$A$2:$A$173)-ROW(A120)+1)</f>
        <v>05/01/2022</v>
      </c>
      <c r="B121">
        <f>VLOOKUP(A121,Apple!A:E,2,FALSE)</f>
        <v>148.84</v>
      </c>
      <c r="C121">
        <f>VLOOKUP(A121,Microsoft!A:E,2,FALSE)</f>
        <v>271.87</v>
      </c>
      <c r="D121">
        <f>VLOOKUP(A121,Google!A:E,2,FALSE)</f>
        <v>113.76</v>
      </c>
      <c r="E121">
        <f>VLOOKUP(A121,Amazon!A:E,2,FALSE)</f>
        <v>120.21</v>
      </c>
      <c r="F121">
        <f>VLOOKUP(A121,NVIDIA!A:E,2,FALSE)</f>
        <v>18.670000000000002</v>
      </c>
      <c r="G121">
        <f>VLOOKUP(A121,'Meta(Facebook)'!A:E,2,FALSE)</f>
        <v>193.64</v>
      </c>
      <c r="H121" s="2">
        <f>VLOOKUP(A121,'Samsung 005930'!A:E,2,FALSE)</f>
        <v>67400</v>
      </c>
      <c r="I121">
        <f>VLOOKUP(A121,Tesla!A:E,2,FALSE)</f>
        <v>252.75</v>
      </c>
      <c r="J121">
        <f>VLOOKUP(A121,Intel!A:E,2,FALSE)</f>
        <v>44.42</v>
      </c>
      <c r="K121">
        <f>VLOOKUP(A121,Tencent!A:E,2,FALSE)</f>
        <v>344.2</v>
      </c>
    </row>
    <row r="122" spans="1:11" x14ac:dyDescent="0.5">
      <c r="A122" s="3" t="str" cm="1">
        <f t="array" ref="A122">INDEX(Tencent!$A$2:$A$173,ROWS(Tencent!$A$2:$A$173)-ROW(A121)+1)</f>
        <v>06/01/2022</v>
      </c>
      <c r="B122">
        <f>VLOOKUP(A122,Apple!A:E,2,FALSE)</f>
        <v>136.72</v>
      </c>
      <c r="C122">
        <f>VLOOKUP(A122,Microsoft!A:E,2,FALSE)</f>
        <v>256.83</v>
      </c>
      <c r="D122">
        <f>VLOOKUP(A122,Google!A:E,2,FALSE)</f>
        <v>108.96</v>
      </c>
      <c r="E122">
        <f>VLOOKUP(A122,Amazon!A:E,2,FALSE)</f>
        <v>106.21</v>
      </c>
      <c r="F122">
        <f>VLOOKUP(A122,NVIDIA!A:E,2,FALSE)</f>
        <v>15.16</v>
      </c>
      <c r="G122">
        <f>VLOOKUP(A122,'Meta(Facebook)'!A:E,2,FALSE)</f>
        <v>161.25</v>
      </c>
      <c r="H122" s="2">
        <f>VLOOKUP(A122,'Samsung 005930'!A:E,2,FALSE)</f>
        <v>57000</v>
      </c>
      <c r="I122">
        <f>VLOOKUP(A122,Tesla!A:E,2,FALSE)</f>
        <v>224.47</v>
      </c>
      <c r="J122">
        <f>VLOOKUP(A122,Intel!A:E,2,FALSE)</f>
        <v>37.409999999999997</v>
      </c>
      <c r="K122">
        <f>VLOOKUP(A122,Tencent!A:E,2,FALSE)</f>
        <v>336.6</v>
      </c>
    </row>
    <row r="123" spans="1:11" x14ac:dyDescent="0.5">
      <c r="A123" s="3" t="str" cm="1">
        <f t="array" ref="A123">INDEX(Tencent!$A$2:$A$173,ROWS(Tencent!$A$2:$A$173)-ROW(A122)+1)</f>
        <v>07/01/2022</v>
      </c>
      <c r="B123">
        <f>VLOOKUP(A123,Apple!A:E,2,FALSE)</f>
        <v>162.51</v>
      </c>
      <c r="C123">
        <f>VLOOKUP(A123,Microsoft!A:E,2,FALSE)</f>
        <v>280.74</v>
      </c>
      <c r="D123">
        <f>VLOOKUP(A123,Google!A:E,2,FALSE)</f>
        <v>116.32</v>
      </c>
      <c r="E123">
        <f>VLOOKUP(A123,Amazon!A:E,2,FALSE)</f>
        <v>134.94999999999999</v>
      </c>
      <c r="F123">
        <f>VLOOKUP(A123,NVIDIA!A:E,2,FALSE)</f>
        <v>18.16</v>
      </c>
      <c r="G123">
        <f>VLOOKUP(A123,'Meta(Facebook)'!A:E,2,FALSE)</f>
        <v>159.1</v>
      </c>
      <c r="H123" s="2">
        <f>VLOOKUP(A123,'Samsung 005930'!A:E,2,FALSE)</f>
        <v>61400</v>
      </c>
      <c r="I123">
        <f>VLOOKUP(A123,Tesla!A:E,2,FALSE)</f>
        <v>297.14999999999998</v>
      </c>
      <c r="J123">
        <f>VLOOKUP(A123,Intel!A:E,2,FALSE)</f>
        <v>36.31</v>
      </c>
      <c r="K123">
        <f>VLOOKUP(A123,Tencent!A:E,2,FALSE)</f>
        <v>291.39</v>
      </c>
    </row>
    <row r="124" spans="1:11" x14ac:dyDescent="0.5">
      <c r="A124" s="3" t="str" cm="1">
        <f t="array" ref="A124">INDEX(Tencent!$A$2:$A$173,ROWS(Tencent!$A$2:$A$173)-ROW(A123)+1)</f>
        <v>08/01/2022</v>
      </c>
      <c r="B124">
        <f>VLOOKUP(A124,Apple!A:E,2,FALSE)</f>
        <v>157.22</v>
      </c>
      <c r="C124">
        <f>VLOOKUP(A124,Microsoft!A:E,2,FALSE)</f>
        <v>261.47000000000003</v>
      </c>
      <c r="D124">
        <f>VLOOKUP(A124,Google!A:E,2,FALSE)</f>
        <v>108.22</v>
      </c>
      <c r="E124">
        <f>VLOOKUP(A124,Amazon!A:E,2,FALSE)</f>
        <v>126.77</v>
      </c>
      <c r="F124">
        <f>VLOOKUP(A124,NVIDIA!A:E,2,FALSE)</f>
        <v>15.09</v>
      </c>
      <c r="G124">
        <f>VLOOKUP(A124,'Meta(Facebook)'!A:E,2,FALSE)</f>
        <v>162.93</v>
      </c>
      <c r="H124" s="2">
        <f>VLOOKUP(A124,'Samsung 005930'!A:E,2,FALSE)</f>
        <v>59700</v>
      </c>
      <c r="I124">
        <f>VLOOKUP(A124,Tesla!A:E,2,FALSE)</f>
        <v>275.61</v>
      </c>
      <c r="J124">
        <f>VLOOKUP(A124,Intel!A:E,2,FALSE)</f>
        <v>31.92</v>
      </c>
      <c r="K124">
        <f>VLOOKUP(A124,Tencent!A:E,2,FALSE)</f>
        <v>310.77</v>
      </c>
    </row>
    <row r="125" spans="1:11" x14ac:dyDescent="0.5">
      <c r="A125" s="3" t="str" cm="1">
        <f t="array" ref="A125">INDEX(Tencent!$A$2:$A$173,ROWS(Tencent!$A$2:$A$173)-ROW(A124)+1)</f>
        <v>09/01/2022</v>
      </c>
      <c r="B125">
        <f>VLOOKUP(A125,Apple!A:E,2,FALSE)</f>
        <v>138.19999999999999</v>
      </c>
      <c r="C125">
        <f>VLOOKUP(A125,Microsoft!A:E,2,FALSE)</f>
        <v>232.9</v>
      </c>
      <c r="D125">
        <f>VLOOKUP(A125,Google!A:E,2,FALSE)</f>
        <v>95.65</v>
      </c>
      <c r="E125">
        <f>VLOOKUP(A125,Amazon!A:E,2,FALSE)</f>
        <v>113</v>
      </c>
      <c r="F125">
        <f>VLOOKUP(A125,NVIDIA!A:E,2,FALSE)</f>
        <v>12.14</v>
      </c>
      <c r="G125">
        <f>VLOOKUP(A125,'Meta(Facebook)'!A:E,2,FALSE)</f>
        <v>135.68</v>
      </c>
      <c r="H125" s="2">
        <f>VLOOKUP(A125,'Samsung 005930'!A:E,2,FALSE)</f>
        <v>53100</v>
      </c>
      <c r="I125">
        <f>VLOOKUP(A125,Tesla!A:E,2,FALSE)</f>
        <v>265.25</v>
      </c>
      <c r="J125">
        <f>VLOOKUP(A125,Intel!A:E,2,FALSE)</f>
        <v>25.77</v>
      </c>
      <c r="K125">
        <f>VLOOKUP(A125,Tencent!A:E,2,FALSE)</f>
        <v>253.02</v>
      </c>
    </row>
    <row r="126" spans="1:11" x14ac:dyDescent="0.5">
      <c r="A126" s="3" t="str" cm="1">
        <f t="array" ref="A126">INDEX(Tencent!$A$2:$A$173,ROWS(Tencent!$A$2:$A$173)-ROW(A125)+1)</f>
        <v>10/01/2022</v>
      </c>
      <c r="B126">
        <f>VLOOKUP(A126,Apple!A:E,2,FALSE)</f>
        <v>153.34</v>
      </c>
      <c r="C126">
        <f>VLOOKUP(A126,Microsoft!A:E,2,FALSE)</f>
        <v>232.13</v>
      </c>
      <c r="D126">
        <f>VLOOKUP(A126,Google!A:E,2,FALSE)</f>
        <v>94.51</v>
      </c>
      <c r="E126">
        <f>VLOOKUP(A126,Amazon!A:E,2,FALSE)</f>
        <v>102.44</v>
      </c>
      <c r="F126">
        <f>VLOOKUP(A126,NVIDIA!A:E,2,FALSE)</f>
        <v>13.5</v>
      </c>
      <c r="G126">
        <f>VLOOKUP(A126,'Meta(Facebook)'!A:E,2,FALSE)</f>
        <v>93.16</v>
      </c>
      <c r="H126" s="2">
        <f>VLOOKUP(A126,'Samsung 005930'!A:E,2,FALSE)</f>
        <v>59400</v>
      </c>
      <c r="I126">
        <f>VLOOKUP(A126,Tesla!A:E,2,FALSE)</f>
        <v>227.54</v>
      </c>
      <c r="J126">
        <f>VLOOKUP(A126,Intel!A:E,2,FALSE)</f>
        <v>28.43</v>
      </c>
      <c r="K126">
        <f>VLOOKUP(A126,Tencent!A:E,2,FALSE)</f>
        <v>195.27</v>
      </c>
    </row>
    <row r="127" spans="1:11" x14ac:dyDescent="0.5">
      <c r="A127" s="3" t="str" cm="1">
        <f t="array" ref="A127">INDEX(Tencent!$A$2:$A$173,ROWS(Tencent!$A$2:$A$173)-ROW(A126)+1)</f>
        <v>11/01/2022</v>
      </c>
      <c r="B127">
        <f>VLOOKUP(A127,Apple!A:E,2,FALSE)</f>
        <v>148.03</v>
      </c>
      <c r="C127">
        <f>VLOOKUP(A127,Microsoft!A:E,2,FALSE)</f>
        <v>255.14</v>
      </c>
      <c r="D127">
        <f>VLOOKUP(A127,Google!A:E,2,FALSE)</f>
        <v>100.99</v>
      </c>
      <c r="E127">
        <f>VLOOKUP(A127,Amazon!A:E,2,FALSE)</f>
        <v>96.54</v>
      </c>
      <c r="F127">
        <f>VLOOKUP(A127,NVIDIA!A:E,2,FALSE)</f>
        <v>16.920000000000002</v>
      </c>
      <c r="G127">
        <f>VLOOKUP(A127,'Meta(Facebook)'!A:E,2,FALSE)</f>
        <v>118.1</v>
      </c>
      <c r="H127" s="2">
        <f>VLOOKUP(A127,'Samsung 005930'!A:E,2,FALSE)</f>
        <v>62200</v>
      </c>
      <c r="I127">
        <f>VLOOKUP(A127,Tesla!A:E,2,FALSE)</f>
        <v>194.7</v>
      </c>
      <c r="J127">
        <f>VLOOKUP(A127,Intel!A:E,2,FALSE)</f>
        <v>30.07</v>
      </c>
      <c r="K127">
        <f>VLOOKUP(A127,Tencent!A:E,2,FALSE)</f>
        <v>272.77999999999997</v>
      </c>
    </row>
    <row r="128" spans="1:11" x14ac:dyDescent="0.5">
      <c r="A128" s="3" t="str" cm="1">
        <f t="array" ref="A128">INDEX(Tencent!$A$2:$A$173,ROWS(Tencent!$A$2:$A$173)-ROW(A127)+1)</f>
        <v>12/01/2022</v>
      </c>
      <c r="B128">
        <f>VLOOKUP(A128,Apple!A:E,2,FALSE)</f>
        <v>129.93</v>
      </c>
      <c r="C128">
        <f>VLOOKUP(A128,Microsoft!A:E,2,FALSE)</f>
        <v>239.82</v>
      </c>
      <c r="D128">
        <f>VLOOKUP(A128,Google!A:E,2,FALSE)</f>
        <v>88.23</v>
      </c>
      <c r="E128">
        <f>VLOOKUP(A128,Amazon!A:E,2,FALSE)</f>
        <v>84</v>
      </c>
      <c r="F128">
        <f>VLOOKUP(A128,NVIDIA!A:E,2,FALSE)</f>
        <v>14.61</v>
      </c>
      <c r="G128">
        <f>VLOOKUP(A128,'Meta(Facebook)'!A:E,2,FALSE)</f>
        <v>120.34</v>
      </c>
      <c r="H128" s="2">
        <f>VLOOKUP(A128,'Samsung 005930'!A:E,2,FALSE)</f>
        <v>55300</v>
      </c>
      <c r="I128">
        <f>VLOOKUP(A128,Tesla!A:E,2,FALSE)</f>
        <v>123.18</v>
      </c>
      <c r="J128">
        <f>VLOOKUP(A128,Intel!A:E,2,FALSE)</f>
        <v>26.43</v>
      </c>
      <c r="K128">
        <f>VLOOKUP(A128,Tencent!A:E,2,FALSE)</f>
        <v>317.23</v>
      </c>
    </row>
    <row r="129" spans="1:11" x14ac:dyDescent="0.5">
      <c r="A129" s="3" t="str" cm="1">
        <f t="array" ref="A129">INDEX(Tencent!$A$2:$A$173,ROWS(Tencent!$A$2:$A$173)-ROW(A128)+1)</f>
        <v>01/01/2023</v>
      </c>
      <c r="B129">
        <f>VLOOKUP(A129,Apple!A:E,2,FALSE)</f>
        <v>144.29</v>
      </c>
      <c r="C129">
        <f>VLOOKUP(A129,Microsoft!A:E,2,FALSE)</f>
        <v>247.81</v>
      </c>
      <c r="D129">
        <f>VLOOKUP(A129,Google!A:E,2,FALSE)</f>
        <v>98.84</v>
      </c>
      <c r="E129">
        <f>VLOOKUP(A129,Amazon!A:E,2,FALSE)</f>
        <v>103.13</v>
      </c>
      <c r="F129">
        <f>VLOOKUP(A129,NVIDIA!A:E,2,FALSE)</f>
        <v>19.54</v>
      </c>
      <c r="G129">
        <f>VLOOKUP(A129,'Meta(Facebook)'!A:E,2,FALSE)</f>
        <v>148.97</v>
      </c>
      <c r="H129" s="2">
        <f>VLOOKUP(A129,'Samsung 005930'!A:E,2,FALSE)</f>
        <v>61000</v>
      </c>
      <c r="I129">
        <f>VLOOKUP(A129,Tesla!A:E,2,FALSE)</f>
        <v>173.22</v>
      </c>
      <c r="J129">
        <f>VLOOKUP(A129,Intel!A:E,2,FALSE)</f>
        <v>28.26</v>
      </c>
      <c r="K129">
        <f>VLOOKUP(A129,Tencent!A:E,2,FALSE)</f>
        <v>382.2</v>
      </c>
    </row>
    <row r="130" spans="1:11" x14ac:dyDescent="0.5">
      <c r="A130" s="3" t="str" cm="1">
        <f t="array" ref="A130">INDEX(Tencent!$A$2:$A$173,ROWS(Tencent!$A$2:$A$173)-ROW(A129)+1)</f>
        <v>02/01/2023</v>
      </c>
      <c r="B130">
        <f>VLOOKUP(A130,Apple!A:E,2,FALSE)</f>
        <v>147.41</v>
      </c>
      <c r="C130">
        <f>VLOOKUP(A130,Microsoft!A:E,2,FALSE)</f>
        <v>249.42</v>
      </c>
      <c r="D130">
        <f>VLOOKUP(A130,Google!A:E,2,FALSE)</f>
        <v>90.06</v>
      </c>
      <c r="E130">
        <f>VLOOKUP(A130,Amazon!A:E,2,FALSE)</f>
        <v>94.23</v>
      </c>
      <c r="F130">
        <f>VLOOKUP(A130,NVIDIA!A:E,2,FALSE)</f>
        <v>23.22</v>
      </c>
      <c r="G130">
        <f>VLOOKUP(A130,'Meta(Facebook)'!A:E,2,FALSE)</f>
        <v>174.94</v>
      </c>
      <c r="H130" s="2">
        <f>VLOOKUP(A130,'Samsung 005930'!A:E,2,FALSE)</f>
        <v>60600</v>
      </c>
      <c r="I130">
        <f>VLOOKUP(A130,Tesla!A:E,2,FALSE)</f>
        <v>205.71</v>
      </c>
      <c r="J130">
        <f>VLOOKUP(A130,Intel!A:E,2,FALSE)</f>
        <v>24.93</v>
      </c>
      <c r="K130">
        <f>VLOOKUP(A130,Tencent!A:E,2,FALSE)</f>
        <v>343.6</v>
      </c>
    </row>
    <row r="131" spans="1:11" x14ac:dyDescent="0.5">
      <c r="A131" s="3" t="str" cm="1">
        <f t="array" ref="A131">INDEX(Tencent!$A$2:$A$173,ROWS(Tencent!$A$2:$A$173)-ROW(A130)+1)</f>
        <v>03/01/2023</v>
      </c>
      <c r="B131">
        <f>VLOOKUP(A131,Apple!A:E,2,FALSE)</f>
        <v>164.9</v>
      </c>
      <c r="C131">
        <f>VLOOKUP(A131,Microsoft!A:E,2,FALSE)</f>
        <v>288.3</v>
      </c>
      <c r="D131">
        <f>VLOOKUP(A131,Google!A:E,2,FALSE)</f>
        <v>103.73</v>
      </c>
      <c r="E131">
        <f>VLOOKUP(A131,Amazon!A:E,2,FALSE)</f>
        <v>103.29</v>
      </c>
      <c r="F131">
        <f>VLOOKUP(A131,NVIDIA!A:E,2,FALSE)</f>
        <v>27.78</v>
      </c>
      <c r="G131">
        <f>VLOOKUP(A131,'Meta(Facebook)'!A:E,2,FALSE)</f>
        <v>211.94</v>
      </c>
      <c r="H131" s="2">
        <f>VLOOKUP(A131,'Samsung 005930'!A:E,2,FALSE)</f>
        <v>64000</v>
      </c>
      <c r="I131">
        <f>VLOOKUP(A131,Tesla!A:E,2,FALSE)</f>
        <v>207.46</v>
      </c>
      <c r="J131">
        <f>VLOOKUP(A131,Intel!A:E,2,FALSE)</f>
        <v>32.67</v>
      </c>
      <c r="K131">
        <f>VLOOKUP(A131,Tencent!A:E,2,FALSE)</f>
        <v>385.8</v>
      </c>
    </row>
    <row r="132" spans="1:11" x14ac:dyDescent="0.5">
      <c r="A132" s="3" t="str" cm="1">
        <f t="array" ref="A132">INDEX(Tencent!$A$2:$A$173,ROWS(Tencent!$A$2:$A$173)-ROW(A131)+1)</f>
        <v>04/01/2023</v>
      </c>
      <c r="B132">
        <f>VLOOKUP(A132,Apple!A:E,2,FALSE)</f>
        <v>169.68</v>
      </c>
      <c r="C132">
        <f>VLOOKUP(A132,Microsoft!A:E,2,FALSE)</f>
        <v>307.26</v>
      </c>
      <c r="D132">
        <f>VLOOKUP(A132,Google!A:E,2,FALSE)</f>
        <v>107.34</v>
      </c>
      <c r="E132">
        <f>VLOOKUP(A132,Amazon!A:E,2,FALSE)</f>
        <v>105.45</v>
      </c>
      <c r="F132">
        <f>VLOOKUP(A132,NVIDIA!A:E,2,FALSE)</f>
        <v>27.75</v>
      </c>
      <c r="G132">
        <f>VLOOKUP(A132,'Meta(Facebook)'!A:E,2,FALSE)</f>
        <v>240.32</v>
      </c>
      <c r="H132" s="2">
        <f>VLOOKUP(A132,'Samsung 005930'!A:E,2,FALSE)</f>
        <v>65500</v>
      </c>
      <c r="I132">
        <f>VLOOKUP(A132,Tesla!A:E,2,FALSE)</f>
        <v>164.31</v>
      </c>
      <c r="J132">
        <f>VLOOKUP(A132,Intel!A:E,2,FALSE)</f>
        <v>31.06</v>
      </c>
      <c r="K132">
        <f>VLOOKUP(A132,Tencent!A:E,2,FALSE)</f>
        <v>344.4</v>
      </c>
    </row>
    <row r="133" spans="1:11" x14ac:dyDescent="0.5">
      <c r="A133" s="3" t="str" cm="1">
        <f t="array" ref="A133">INDEX(Tencent!$A$2:$A$173,ROWS(Tencent!$A$2:$A$173)-ROW(A132)+1)</f>
        <v>05/01/2023</v>
      </c>
      <c r="B133">
        <f>VLOOKUP(A133,Apple!A:E,2,FALSE)</f>
        <v>177.25</v>
      </c>
      <c r="C133">
        <f>VLOOKUP(A133,Microsoft!A:E,2,FALSE)</f>
        <v>328.39</v>
      </c>
      <c r="D133">
        <f>VLOOKUP(A133,Google!A:E,2,FALSE)</f>
        <v>122.87</v>
      </c>
      <c r="E133">
        <f>VLOOKUP(A133,Amazon!A:E,2,FALSE)</f>
        <v>120.58</v>
      </c>
      <c r="F133">
        <f>VLOOKUP(A133,NVIDIA!A:E,2,FALSE)</f>
        <v>37.83</v>
      </c>
      <c r="G133">
        <f>VLOOKUP(A133,'Meta(Facebook)'!A:E,2,FALSE)</f>
        <v>264.72000000000003</v>
      </c>
      <c r="H133" s="2">
        <f>VLOOKUP(A133,'Samsung 005930'!A:E,2,FALSE)</f>
        <v>71400</v>
      </c>
      <c r="I133">
        <f>VLOOKUP(A133,Tesla!A:E,2,FALSE)</f>
        <v>203.93</v>
      </c>
      <c r="J133">
        <f>VLOOKUP(A133,Intel!A:E,2,FALSE)</f>
        <v>31.44</v>
      </c>
      <c r="K133">
        <f>VLOOKUP(A133,Tencent!A:E,2,FALSE)</f>
        <v>310.60000000000002</v>
      </c>
    </row>
    <row r="134" spans="1:11" x14ac:dyDescent="0.5">
      <c r="A134" s="3" t="str" cm="1">
        <f t="array" ref="A134">INDEX(Tencent!$A$2:$A$173,ROWS(Tencent!$A$2:$A$173)-ROW(A133)+1)</f>
        <v>06/01/2023</v>
      </c>
      <c r="B134">
        <f>VLOOKUP(A134,Apple!A:E,2,FALSE)</f>
        <v>193.97</v>
      </c>
      <c r="C134">
        <f>VLOOKUP(A134,Microsoft!A:E,2,FALSE)</f>
        <v>340.54</v>
      </c>
      <c r="D134">
        <f>VLOOKUP(A134,Google!A:E,2,FALSE)</f>
        <v>119.7</v>
      </c>
      <c r="E134">
        <f>VLOOKUP(A134,Amazon!A:E,2,FALSE)</f>
        <v>130.36000000000001</v>
      </c>
      <c r="F134">
        <f>VLOOKUP(A134,NVIDIA!A:E,2,FALSE)</f>
        <v>42.3</v>
      </c>
      <c r="G134">
        <f>VLOOKUP(A134,'Meta(Facebook)'!A:E,2,FALSE)</f>
        <v>286.98</v>
      </c>
      <c r="H134" s="2">
        <f>VLOOKUP(A134,'Samsung 005930'!A:E,2,FALSE)</f>
        <v>72200</v>
      </c>
      <c r="I134">
        <f>VLOOKUP(A134,Tesla!A:E,2,FALSE)</f>
        <v>261.77</v>
      </c>
      <c r="J134">
        <f>VLOOKUP(A134,Intel!A:E,2,FALSE)</f>
        <v>33.44</v>
      </c>
      <c r="K134">
        <f>VLOOKUP(A134,Tencent!A:E,2,FALSE)</f>
        <v>331.6</v>
      </c>
    </row>
    <row r="135" spans="1:11" x14ac:dyDescent="0.5">
      <c r="A135" s="3" t="str" cm="1">
        <f t="array" ref="A135">INDEX(Tencent!$A$2:$A$173,ROWS(Tencent!$A$2:$A$173)-ROW(A134)+1)</f>
        <v>07/01/2023</v>
      </c>
      <c r="B135">
        <f>VLOOKUP(A135,Apple!A:E,2,FALSE)</f>
        <v>196.45</v>
      </c>
      <c r="C135">
        <f>VLOOKUP(A135,Microsoft!A:E,2,FALSE)</f>
        <v>335.92</v>
      </c>
      <c r="D135">
        <f>VLOOKUP(A135,Google!A:E,2,FALSE)</f>
        <v>132.72</v>
      </c>
      <c r="E135">
        <f>VLOOKUP(A135,Amazon!A:E,2,FALSE)</f>
        <v>133.68</v>
      </c>
      <c r="F135">
        <f>VLOOKUP(A135,NVIDIA!A:E,2,FALSE)</f>
        <v>46.73</v>
      </c>
      <c r="G135">
        <f>VLOOKUP(A135,'Meta(Facebook)'!A:E,2,FALSE)</f>
        <v>318.60000000000002</v>
      </c>
      <c r="H135" s="2">
        <f>VLOOKUP(A135,'Samsung 005930'!A:E,2,FALSE)</f>
        <v>69800</v>
      </c>
      <c r="I135">
        <f>VLOOKUP(A135,Tesla!A:E,2,FALSE)</f>
        <v>267.43</v>
      </c>
      <c r="J135">
        <f>VLOOKUP(A135,Intel!A:E,2,FALSE)</f>
        <v>35.770000000000003</v>
      </c>
      <c r="K135">
        <f>VLOOKUP(A135,Tencent!A:E,2,FALSE)</f>
        <v>354.4</v>
      </c>
    </row>
    <row r="136" spans="1:11" x14ac:dyDescent="0.5">
      <c r="A136" s="3" t="str" cm="1">
        <f t="array" ref="A136">INDEX(Tencent!$A$2:$A$173,ROWS(Tencent!$A$2:$A$173)-ROW(A135)+1)</f>
        <v>08/01/2023</v>
      </c>
      <c r="B136">
        <f>VLOOKUP(A136,Apple!A:E,2,FALSE)</f>
        <v>187.87</v>
      </c>
      <c r="C136">
        <f>VLOOKUP(A136,Microsoft!A:E,2,FALSE)</f>
        <v>327.76</v>
      </c>
      <c r="D136">
        <f>VLOOKUP(A136,Google!A:E,2,FALSE)</f>
        <v>136.16999999999999</v>
      </c>
      <c r="E136">
        <f>VLOOKUP(A136,Amazon!A:E,2,FALSE)</f>
        <v>138.01</v>
      </c>
      <c r="F136">
        <f>VLOOKUP(A136,NVIDIA!A:E,2,FALSE)</f>
        <v>49.35</v>
      </c>
      <c r="G136">
        <f>VLOOKUP(A136,'Meta(Facebook)'!A:E,2,FALSE)</f>
        <v>295.89</v>
      </c>
      <c r="H136" s="2">
        <f>VLOOKUP(A136,'Samsung 005930'!A:E,2,FALSE)</f>
        <v>66900</v>
      </c>
      <c r="I136">
        <f>VLOOKUP(A136,Tesla!A:E,2,FALSE)</f>
        <v>258.08</v>
      </c>
      <c r="J136">
        <f>VLOOKUP(A136,Intel!A:E,2,FALSE)</f>
        <v>35.14</v>
      </c>
      <c r="K136">
        <f>VLOOKUP(A136,Tencent!A:E,2,FALSE)</f>
        <v>325</v>
      </c>
    </row>
    <row r="137" spans="1:11" x14ac:dyDescent="0.5">
      <c r="A137" s="3" t="str" cm="1">
        <f t="array" ref="A137">INDEX(Tencent!$A$2:$A$173,ROWS(Tencent!$A$2:$A$173)-ROW(A136)+1)</f>
        <v>09/01/2023</v>
      </c>
      <c r="B137">
        <f>VLOOKUP(A137,Apple!A:E,2,FALSE)</f>
        <v>171.21</v>
      </c>
      <c r="C137">
        <f>VLOOKUP(A137,Microsoft!A:E,2,FALSE)</f>
        <v>315.75</v>
      </c>
      <c r="D137">
        <f>VLOOKUP(A137,Google!A:E,2,FALSE)</f>
        <v>130.86000000000001</v>
      </c>
      <c r="E137">
        <f>VLOOKUP(A137,Amazon!A:E,2,FALSE)</f>
        <v>127.12</v>
      </c>
      <c r="F137">
        <f>VLOOKUP(A137,NVIDIA!A:E,2,FALSE)</f>
        <v>43.5</v>
      </c>
      <c r="G137">
        <f>VLOOKUP(A137,'Meta(Facebook)'!A:E,2,FALSE)</f>
        <v>300.20999999999998</v>
      </c>
      <c r="H137" s="2">
        <f>VLOOKUP(A137,'Samsung 005930'!A:E,2,FALSE)</f>
        <v>68400</v>
      </c>
      <c r="I137">
        <f>VLOOKUP(A137,Tesla!A:E,2,FALSE)</f>
        <v>250.22</v>
      </c>
      <c r="J137">
        <f>VLOOKUP(A137,Intel!A:E,2,FALSE)</f>
        <v>35.549999999999997</v>
      </c>
      <c r="K137">
        <f>VLOOKUP(A137,Tencent!A:E,2,FALSE)</f>
        <v>306.2</v>
      </c>
    </row>
    <row r="138" spans="1:11" x14ac:dyDescent="0.5">
      <c r="A138" s="3" t="str" cm="1">
        <f t="array" ref="A138">INDEX(Tencent!$A$2:$A$173,ROWS(Tencent!$A$2:$A$173)-ROW(A137)+1)</f>
        <v>10/01/2023</v>
      </c>
      <c r="B138">
        <f>VLOOKUP(A138,Apple!A:E,2,FALSE)</f>
        <v>170.77</v>
      </c>
      <c r="C138">
        <f>VLOOKUP(A138,Microsoft!A:E,2,FALSE)</f>
        <v>338.11</v>
      </c>
      <c r="D138">
        <f>VLOOKUP(A138,Google!A:E,2,FALSE)</f>
        <v>124.08</v>
      </c>
      <c r="E138">
        <f>VLOOKUP(A138,Amazon!A:E,2,FALSE)</f>
        <v>133.09</v>
      </c>
      <c r="F138">
        <f>VLOOKUP(A138,NVIDIA!A:E,2,FALSE)</f>
        <v>40.78</v>
      </c>
      <c r="G138">
        <f>VLOOKUP(A138,'Meta(Facebook)'!A:E,2,FALSE)</f>
        <v>301.27</v>
      </c>
      <c r="H138" s="2">
        <f>VLOOKUP(A138,'Samsung 005930'!A:E,2,FALSE)</f>
        <v>66900</v>
      </c>
      <c r="I138">
        <f>VLOOKUP(A138,Tesla!A:E,2,FALSE)</f>
        <v>200.84</v>
      </c>
      <c r="J138">
        <f>VLOOKUP(A138,Intel!A:E,2,FALSE)</f>
        <v>36.5</v>
      </c>
      <c r="K138">
        <f>VLOOKUP(A138,Tencent!A:E,2,FALSE)</f>
        <v>289.2</v>
      </c>
    </row>
    <row r="139" spans="1:11" x14ac:dyDescent="0.5">
      <c r="A139" s="3" t="str" cm="1">
        <f t="array" ref="A139">INDEX(Tencent!$A$2:$A$173,ROWS(Tencent!$A$2:$A$173)-ROW(A138)+1)</f>
        <v>11/01/2023</v>
      </c>
      <c r="B139">
        <f>VLOOKUP(A139,Apple!A:E,2,FALSE)</f>
        <v>189.95</v>
      </c>
      <c r="C139">
        <f>VLOOKUP(A139,Microsoft!A:E,2,FALSE)</f>
        <v>378.91</v>
      </c>
      <c r="D139">
        <f>VLOOKUP(A139,Google!A:E,2,FALSE)</f>
        <v>132.53</v>
      </c>
      <c r="E139">
        <f>VLOOKUP(A139,Amazon!A:E,2,FALSE)</f>
        <v>146.09</v>
      </c>
      <c r="F139">
        <f>VLOOKUP(A139,NVIDIA!A:E,2,FALSE)</f>
        <v>46.77</v>
      </c>
      <c r="G139">
        <f>VLOOKUP(A139,'Meta(Facebook)'!A:E,2,FALSE)</f>
        <v>327.14999999999998</v>
      </c>
      <c r="H139" s="2">
        <f>VLOOKUP(A139,'Samsung 005930'!A:E,2,FALSE)</f>
        <v>72800</v>
      </c>
      <c r="I139">
        <f>VLOOKUP(A139,Tesla!A:E,2,FALSE)</f>
        <v>240.08</v>
      </c>
      <c r="J139">
        <f>VLOOKUP(A139,Intel!A:E,2,FALSE)</f>
        <v>44.7</v>
      </c>
      <c r="K139">
        <f>VLOOKUP(A139,Tencent!A:E,2,FALSE)</f>
        <v>327</v>
      </c>
    </row>
    <row r="140" spans="1:11" x14ac:dyDescent="0.5">
      <c r="A140" s="3" t="str" cm="1">
        <f t="array" ref="A140">INDEX(Tencent!$A$2:$A$173,ROWS(Tencent!$A$2:$A$173)-ROW(A139)+1)</f>
        <v>12/01/2023</v>
      </c>
      <c r="B140">
        <f>VLOOKUP(A140,Apple!A:E,2,FALSE)</f>
        <v>192.53</v>
      </c>
      <c r="C140">
        <f>VLOOKUP(A140,Microsoft!A:E,2,FALSE)</f>
        <v>376.04</v>
      </c>
      <c r="D140">
        <f>VLOOKUP(A140,Google!A:E,2,FALSE)</f>
        <v>139.69</v>
      </c>
      <c r="E140">
        <f>VLOOKUP(A140,Amazon!A:E,2,FALSE)</f>
        <v>151.94</v>
      </c>
      <c r="F140">
        <f>VLOOKUP(A140,NVIDIA!A:E,2,FALSE)</f>
        <v>49.52</v>
      </c>
      <c r="G140">
        <f>VLOOKUP(A140,'Meta(Facebook)'!A:E,2,FALSE)</f>
        <v>353.96</v>
      </c>
      <c r="H140" s="2">
        <f>VLOOKUP(A140,'Samsung 005930'!A:E,2,FALSE)</f>
        <v>78500</v>
      </c>
      <c r="I140">
        <f>VLOOKUP(A140,Tesla!A:E,2,FALSE)</f>
        <v>248.48</v>
      </c>
      <c r="J140">
        <f>VLOOKUP(A140,Intel!A:E,2,FALSE)</f>
        <v>50.25</v>
      </c>
      <c r="K140">
        <f>VLOOKUP(A140,Tencent!A:E,2,FALSE)</f>
        <v>293.60000000000002</v>
      </c>
    </row>
    <row r="141" spans="1:11" x14ac:dyDescent="0.5">
      <c r="A141" s="3" t="str" cm="1">
        <f t="array" ref="A141">INDEX(Tencent!$A$2:$A$173,ROWS(Tencent!$A$2:$A$173)-ROW(A140)+1)</f>
        <v>01/01/2024</v>
      </c>
      <c r="B141">
        <f>VLOOKUP(A141,Apple!A:E,2,FALSE)</f>
        <v>184.4</v>
      </c>
      <c r="C141">
        <f>VLOOKUP(A141,Microsoft!A:E,2,FALSE)</f>
        <v>397.58</v>
      </c>
      <c r="D141">
        <f>VLOOKUP(A141,Google!A:E,2,FALSE)</f>
        <v>140.1</v>
      </c>
      <c r="E141">
        <f>VLOOKUP(A141,Amazon!A:E,2,FALSE)</f>
        <v>155.19999999999999</v>
      </c>
      <c r="F141">
        <f>VLOOKUP(A141,NVIDIA!A:E,2,FALSE)</f>
        <v>61.53</v>
      </c>
      <c r="G141">
        <f>VLOOKUP(A141,'Meta(Facebook)'!A:E,2,FALSE)</f>
        <v>390.14</v>
      </c>
      <c r="H141" s="2">
        <f>VLOOKUP(A141,'Samsung 005930'!A:E,2,FALSE)</f>
        <v>72700</v>
      </c>
      <c r="I141">
        <f>VLOOKUP(A141,Tesla!A:E,2,FALSE)</f>
        <v>187.29</v>
      </c>
      <c r="J141">
        <f>VLOOKUP(A141,Intel!A:E,2,FALSE)</f>
        <v>43.08</v>
      </c>
      <c r="K141">
        <f>VLOOKUP(A141,Tencent!A:E,2,FALSE)</f>
        <v>270.60000000000002</v>
      </c>
    </row>
    <row r="142" spans="1:11" x14ac:dyDescent="0.5">
      <c r="A142" s="3" t="str" cm="1">
        <f t="array" ref="A142">INDEX(Tencent!$A$2:$A$173,ROWS(Tencent!$A$2:$A$173)-ROW(A141)+1)</f>
        <v>02/01/2024</v>
      </c>
      <c r="B142">
        <f>VLOOKUP(A142,Apple!A:E,2,FALSE)</f>
        <v>180.75</v>
      </c>
      <c r="C142">
        <f>VLOOKUP(A142,Microsoft!A:E,2,FALSE)</f>
        <v>413.64</v>
      </c>
      <c r="D142">
        <f>VLOOKUP(A142,Google!A:E,2,FALSE)</f>
        <v>138.46</v>
      </c>
      <c r="E142">
        <f>VLOOKUP(A142,Amazon!A:E,2,FALSE)</f>
        <v>176.76</v>
      </c>
      <c r="F142">
        <f>VLOOKUP(A142,NVIDIA!A:E,2,FALSE)</f>
        <v>79.11</v>
      </c>
      <c r="G142">
        <f>VLOOKUP(A142,'Meta(Facebook)'!A:E,2,FALSE)</f>
        <v>490.13</v>
      </c>
      <c r="H142" s="2">
        <f>VLOOKUP(A142,'Samsung 005930'!A:E,2,FALSE)</f>
        <v>73400</v>
      </c>
      <c r="I142">
        <f>VLOOKUP(A142,Tesla!A:E,2,FALSE)</f>
        <v>201.88</v>
      </c>
      <c r="J142">
        <f>VLOOKUP(A142,Intel!A:E,2,FALSE)</f>
        <v>43.05</v>
      </c>
      <c r="K142">
        <f>VLOOKUP(A142,Tencent!A:E,2,FALSE)</f>
        <v>277.2</v>
      </c>
    </row>
    <row r="143" spans="1:11" x14ac:dyDescent="0.5">
      <c r="A143" s="3" t="str" cm="1">
        <f t="array" ref="A143">INDEX(Tencent!$A$2:$A$173,ROWS(Tencent!$A$2:$A$173)-ROW(A142)+1)</f>
        <v>03/01/2024</v>
      </c>
      <c r="B143">
        <f>VLOOKUP(A143,Apple!A:E,2,FALSE)</f>
        <v>171.48</v>
      </c>
      <c r="C143">
        <f>VLOOKUP(A143,Microsoft!A:E,2,FALSE)</f>
        <v>420.72</v>
      </c>
      <c r="D143">
        <f>VLOOKUP(A143,Google!A:E,2,FALSE)</f>
        <v>150.93</v>
      </c>
      <c r="E143">
        <f>VLOOKUP(A143,Amazon!A:E,2,FALSE)</f>
        <v>180.38</v>
      </c>
      <c r="F143">
        <f>VLOOKUP(A143,NVIDIA!A:E,2,FALSE)</f>
        <v>90.36</v>
      </c>
      <c r="G143">
        <f>VLOOKUP(A143,'Meta(Facebook)'!A:E,2,FALSE)</f>
        <v>485.58</v>
      </c>
      <c r="H143" s="2">
        <f>VLOOKUP(A143,'Samsung 005930'!A:E,2,FALSE)</f>
        <v>82400</v>
      </c>
      <c r="I143">
        <f>VLOOKUP(A143,Tesla!A:E,2,FALSE)</f>
        <v>175.79</v>
      </c>
      <c r="J143">
        <f>VLOOKUP(A143,Intel!A:E,2,FALSE)</f>
        <v>44.17</v>
      </c>
      <c r="K143">
        <f>VLOOKUP(A143,Tencent!A:E,2,FALSE)</f>
        <v>303.8</v>
      </c>
    </row>
    <row r="144" spans="1:11" x14ac:dyDescent="0.5">
      <c r="A144" s="3" t="str" cm="1">
        <f t="array" ref="A144">INDEX(Tencent!$A$2:$A$173,ROWS(Tencent!$A$2:$A$173)-ROW(A143)+1)</f>
        <v>04/01/2024</v>
      </c>
      <c r="B144">
        <f>VLOOKUP(A144,Apple!A:E,2,FALSE)</f>
        <v>170.33</v>
      </c>
      <c r="C144">
        <f>VLOOKUP(A144,Microsoft!A:E,2,FALSE)</f>
        <v>389.33</v>
      </c>
      <c r="D144">
        <f>VLOOKUP(A144,Google!A:E,2,FALSE)</f>
        <v>162.78</v>
      </c>
      <c r="E144">
        <f>VLOOKUP(A144,Amazon!A:E,2,FALSE)</f>
        <v>175</v>
      </c>
      <c r="F144">
        <f>VLOOKUP(A144,NVIDIA!A:E,2,FALSE)</f>
        <v>86.4</v>
      </c>
      <c r="G144">
        <f>VLOOKUP(A144,'Meta(Facebook)'!A:E,2,FALSE)</f>
        <v>430.17</v>
      </c>
      <c r="H144" s="2">
        <f>VLOOKUP(A144,'Samsung 005930'!A:E,2,FALSE)</f>
        <v>77500</v>
      </c>
      <c r="I144">
        <f>VLOOKUP(A144,Tesla!A:E,2,FALSE)</f>
        <v>183.28</v>
      </c>
      <c r="J144">
        <f>VLOOKUP(A144,Intel!A:E,2,FALSE)</f>
        <v>30.47</v>
      </c>
      <c r="K144">
        <f>VLOOKUP(A144,Tencent!A:E,2,FALSE)</f>
        <v>347.2</v>
      </c>
    </row>
    <row r="145" spans="1:11" x14ac:dyDescent="0.5">
      <c r="A145" s="3" t="str" cm="1">
        <f t="array" ref="A145">INDEX(Tencent!$A$2:$A$173,ROWS(Tencent!$A$2:$A$173)-ROW(A144)+1)</f>
        <v>05/01/2024</v>
      </c>
      <c r="B145">
        <f>VLOOKUP(A145,Apple!A:E,2,FALSE)</f>
        <v>192.25</v>
      </c>
      <c r="C145">
        <f>VLOOKUP(A145,Microsoft!A:E,2,FALSE)</f>
        <v>415.13</v>
      </c>
      <c r="D145">
        <f>VLOOKUP(A145,Google!A:E,2,FALSE)</f>
        <v>172.5</v>
      </c>
      <c r="E145">
        <f>VLOOKUP(A145,Amazon!A:E,2,FALSE)</f>
        <v>176.44</v>
      </c>
      <c r="F145">
        <f>VLOOKUP(A145,NVIDIA!A:E,2,FALSE)</f>
        <v>109.63</v>
      </c>
      <c r="G145">
        <f>VLOOKUP(A145,'Meta(Facebook)'!A:E,2,FALSE)</f>
        <v>466.83</v>
      </c>
      <c r="H145" s="2">
        <f>VLOOKUP(A145,'Samsung 005930'!A:E,2,FALSE)</f>
        <v>73500</v>
      </c>
      <c r="I145">
        <f>VLOOKUP(A145,Tesla!A:E,2,FALSE)</f>
        <v>178.08</v>
      </c>
      <c r="J145">
        <f>VLOOKUP(A145,Intel!A:E,2,FALSE)</f>
        <v>30.85</v>
      </c>
      <c r="K145">
        <f>VLOOKUP(A145,Tencent!A:E,2,FALSE)</f>
        <v>359.8</v>
      </c>
    </row>
    <row r="146" spans="1:11" x14ac:dyDescent="0.5">
      <c r="A146" s="3" t="str" cm="1">
        <f t="array" ref="A146">INDEX(Tencent!$A$2:$A$173,ROWS(Tencent!$A$2:$A$173)-ROW(A145)+1)</f>
        <v>06/01/2024</v>
      </c>
      <c r="B146">
        <f>VLOOKUP(A146,Apple!A:E,2,FALSE)</f>
        <v>210.62</v>
      </c>
      <c r="C146">
        <f>VLOOKUP(A146,Microsoft!A:E,2,FALSE)</f>
        <v>446.95</v>
      </c>
      <c r="D146">
        <f>VLOOKUP(A146,Google!A:E,2,FALSE)</f>
        <v>182.15</v>
      </c>
      <c r="E146">
        <f>VLOOKUP(A146,Amazon!A:E,2,FALSE)</f>
        <v>193.25</v>
      </c>
      <c r="F146">
        <f>VLOOKUP(A146,NVIDIA!A:E,2,FALSE)</f>
        <v>123.54</v>
      </c>
      <c r="G146">
        <f>VLOOKUP(A146,'Meta(Facebook)'!A:E,2,FALSE)</f>
        <v>504.22</v>
      </c>
      <c r="H146" s="2">
        <f>VLOOKUP(A146,'Samsung 005930'!A:E,2,FALSE)</f>
        <v>81500</v>
      </c>
      <c r="I146">
        <f>VLOOKUP(A146,Tesla!A:E,2,FALSE)</f>
        <v>197.88</v>
      </c>
      <c r="J146">
        <f>VLOOKUP(A146,Intel!A:E,2,FALSE)</f>
        <v>30.97</v>
      </c>
      <c r="K146">
        <f>VLOOKUP(A146,Tencent!A:E,2,FALSE)</f>
        <v>372.4</v>
      </c>
    </row>
    <row r="147" spans="1:11" x14ac:dyDescent="0.5">
      <c r="A147" s="3" t="str" cm="1">
        <f t="array" ref="A147">INDEX(Tencent!$A$2:$A$173,ROWS(Tencent!$A$2:$A$173)-ROW(A146)+1)</f>
        <v>07/01/2024</v>
      </c>
      <c r="B147">
        <f>VLOOKUP(A147,Apple!A:E,2,FALSE)</f>
        <v>222.08</v>
      </c>
      <c r="C147">
        <f>VLOOKUP(A147,Microsoft!A:E,2,FALSE)</f>
        <v>418.35</v>
      </c>
      <c r="D147">
        <f>VLOOKUP(A147,Google!A:E,2,FALSE)</f>
        <v>171.54</v>
      </c>
      <c r="E147">
        <f>VLOOKUP(A147,Amazon!A:E,2,FALSE)</f>
        <v>186.98</v>
      </c>
      <c r="F147">
        <f>VLOOKUP(A147,NVIDIA!A:E,2,FALSE)</f>
        <v>117.02</v>
      </c>
      <c r="G147">
        <f>VLOOKUP(A147,'Meta(Facebook)'!A:E,2,FALSE)</f>
        <v>474.83</v>
      </c>
      <c r="H147" s="2">
        <f>VLOOKUP(A147,'Samsung 005930'!A:E,2,FALSE)</f>
        <v>83900</v>
      </c>
      <c r="I147">
        <f>VLOOKUP(A147,Tesla!A:E,2,FALSE)</f>
        <v>232.07</v>
      </c>
      <c r="J147">
        <f>VLOOKUP(A147,Intel!A:E,2,FALSE)</f>
        <v>30.74</v>
      </c>
      <c r="K147">
        <f>VLOOKUP(A147,Tencent!A:E,2,FALSE)</f>
        <v>362.2</v>
      </c>
    </row>
    <row r="148" spans="1:11" x14ac:dyDescent="0.5">
      <c r="A148" s="3" t="str" cm="1">
        <f t="array" ref="A148">INDEX(Tencent!$A$2:$A$173,ROWS(Tencent!$A$2:$A$173)-ROW(A147)+1)</f>
        <v>08/01/2024</v>
      </c>
      <c r="B148">
        <f>VLOOKUP(A148,Apple!A:E,2,FALSE)</f>
        <v>229</v>
      </c>
      <c r="C148">
        <f>VLOOKUP(A148,Microsoft!A:E,2,FALSE)</f>
        <v>417.14</v>
      </c>
      <c r="D148">
        <f>VLOOKUP(A148,Google!A:E,2,FALSE)</f>
        <v>163.38</v>
      </c>
      <c r="E148">
        <f>VLOOKUP(A148,Amazon!A:E,2,FALSE)</f>
        <v>178.5</v>
      </c>
      <c r="F148">
        <f>VLOOKUP(A148,NVIDIA!A:E,2,FALSE)</f>
        <v>119.37</v>
      </c>
      <c r="G148">
        <f>VLOOKUP(A148,'Meta(Facebook)'!A:E,2,FALSE)</f>
        <v>521.30999999999995</v>
      </c>
      <c r="H148" s="2">
        <f>VLOOKUP(A148,'Samsung 005930'!A:E,2,FALSE)</f>
        <v>74300</v>
      </c>
      <c r="I148">
        <f>VLOOKUP(A148,Tesla!A:E,2,FALSE)</f>
        <v>214.11</v>
      </c>
      <c r="J148">
        <f>VLOOKUP(A148,Intel!A:E,2,FALSE)</f>
        <v>22.04</v>
      </c>
      <c r="K148">
        <f>VLOOKUP(A148,Tencent!A:E,2,FALSE)</f>
        <v>382</v>
      </c>
    </row>
    <row r="149" spans="1:11" x14ac:dyDescent="0.5">
      <c r="A149" s="3" t="str" cm="1">
        <f t="array" ref="A149">INDEX(Tencent!$A$2:$A$173,ROWS(Tencent!$A$2:$A$173)-ROW(A148)+1)</f>
        <v>09/01/2024</v>
      </c>
      <c r="B149">
        <f>VLOOKUP(A149,Apple!A:E,2,FALSE)</f>
        <v>233</v>
      </c>
      <c r="C149">
        <f>VLOOKUP(A149,Microsoft!A:E,2,FALSE)</f>
        <v>430.3</v>
      </c>
      <c r="D149">
        <f>VLOOKUP(A149,Google!A:E,2,FALSE)</f>
        <v>165.85</v>
      </c>
      <c r="E149">
        <f>VLOOKUP(A149,Amazon!A:E,2,FALSE)</f>
        <v>186.33</v>
      </c>
      <c r="F149">
        <f>VLOOKUP(A149,NVIDIA!A:E,2,FALSE)</f>
        <v>121.44</v>
      </c>
      <c r="G149">
        <f>VLOOKUP(A149,'Meta(Facebook)'!A:E,2,FALSE)</f>
        <v>572.44000000000005</v>
      </c>
      <c r="H149" s="2">
        <f>VLOOKUP(A149,'Samsung 005930'!A:E,2,FALSE)</f>
        <v>61500</v>
      </c>
      <c r="I149">
        <f>VLOOKUP(A149,Tesla!A:E,2,FALSE)</f>
        <v>261.63</v>
      </c>
      <c r="J149">
        <f>VLOOKUP(A149,Intel!A:E,2,FALSE)</f>
        <v>23.46</v>
      </c>
      <c r="K149">
        <f>VLOOKUP(A149,Tencent!A:E,2,FALSE)</f>
        <v>444.6</v>
      </c>
    </row>
    <row r="150" spans="1:11" x14ac:dyDescent="0.5">
      <c r="A150" s="3" t="str" cm="1">
        <f t="array" ref="A150">INDEX(Tencent!$A$2:$A$173,ROWS(Tencent!$A$2:$A$173)-ROW(A149)+1)</f>
        <v>10/01/2024</v>
      </c>
      <c r="B150">
        <f>VLOOKUP(A150,Apple!A:E,2,FALSE)</f>
        <v>225.91</v>
      </c>
      <c r="C150">
        <f>VLOOKUP(A150,Microsoft!A:E,2,FALSE)</f>
        <v>406.35</v>
      </c>
      <c r="D150">
        <f>VLOOKUP(A150,Google!A:E,2,FALSE)</f>
        <v>171.11</v>
      </c>
      <c r="E150">
        <f>VLOOKUP(A150,Amazon!A:E,2,FALSE)</f>
        <v>186.4</v>
      </c>
      <c r="F150">
        <f>VLOOKUP(A150,NVIDIA!A:E,2,FALSE)</f>
        <v>132.76</v>
      </c>
      <c r="G150">
        <f>VLOOKUP(A150,'Meta(Facebook)'!A:E,2,FALSE)</f>
        <v>567.58000000000004</v>
      </c>
      <c r="H150" s="2">
        <f>VLOOKUP(A150,'Samsung 005930'!A:E,2,FALSE)</f>
        <v>59200</v>
      </c>
      <c r="I150">
        <f>VLOOKUP(A150,Tesla!A:E,2,FALSE)</f>
        <v>249.85</v>
      </c>
      <c r="J150">
        <f>VLOOKUP(A150,Intel!A:E,2,FALSE)</f>
        <v>21.52</v>
      </c>
      <c r="K150">
        <f>VLOOKUP(A150,Tencent!A:E,2,FALSE)</f>
        <v>404.6</v>
      </c>
    </row>
    <row r="151" spans="1:11" x14ac:dyDescent="0.5">
      <c r="A151" s="3" t="str" cm="1">
        <f t="array" ref="A151">INDEX(Tencent!$A$2:$A$173,ROWS(Tencent!$A$2:$A$173)-ROW(A150)+1)</f>
        <v>11/01/2024</v>
      </c>
      <c r="B151">
        <f>VLOOKUP(A151,Apple!A:E,2,FALSE)</f>
        <v>237.33</v>
      </c>
      <c r="C151">
        <f>VLOOKUP(A151,Microsoft!A:E,2,FALSE)</f>
        <v>423.46</v>
      </c>
      <c r="D151">
        <f>VLOOKUP(A151,Google!A:E,2,FALSE)</f>
        <v>168.95</v>
      </c>
      <c r="E151">
        <f>VLOOKUP(A151,Amazon!A:E,2,FALSE)</f>
        <v>207.89</v>
      </c>
      <c r="F151">
        <f>VLOOKUP(A151,NVIDIA!A:E,2,FALSE)</f>
        <v>138.25</v>
      </c>
      <c r="G151">
        <f>VLOOKUP(A151,'Meta(Facebook)'!A:E,2,FALSE)</f>
        <v>574.32000000000005</v>
      </c>
      <c r="H151" s="2">
        <f>VLOOKUP(A151,'Samsung 005930'!A:E,2,FALSE)</f>
        <v>54200</v>
      </c>
      <c r="I151">
        <f>VLOOKUP(A151,Tesla!A:E,2,FALSE)</f>
        <v>345.16</v>
      </c>
      <c r="J151">
        <f>VLOOKUP(A151,Intel!A:E,2,FALSE)</f>
        <v>24.05</v>
      </c>
      <c r="K151">
        <f>VLOOKUP(A151,Tencent!A:E,2,FALSE)</f>
        <v>398</v>
      </c>
    </row>
    <row r="152" spans="1:11" x14ac:dyDescent="0.5">
      <c r="A152" s="3" t="str" cm="1">
        <f t="array" ref="A152">INDEX(Tencent!$A$2:$A$173,ROWS(Tencent!$A$2:$A$173)-ROW(A151)+1)</f>
        <v>12/01/2024</v>
      </c>
      <c r="B152">
        <f>VLOOKUP(A152,Apple!A:E,2,FALSE)</f>
        <v>250.42</v>
      </c>
      <c r="C152">
        <f>VLOOKUP(A152,Microsoft!A:E,2,FALSE)</f>
        <v>421.5</v>
      </c>
      <c r="D152">
        <f>VLOOKUP(A152,Google!A:E,2,FALSE)</f>
        <v>189.3</v>
      </c>
      <c r="E152">
        <f>VLOOKUP(A152,Amazon!A:E,2,FALSE)</f>
        <v>219.39</v>
      </c>
      <c r="F152">
        <f>VLOOKUP(A152,NVIDIA!A:E,2,FALSE)</f>
        <v>134.29</v>
      </c>
      <c r="G152">
        <f>VLOOKUP(A152,'Meta(Facebook)'!A:E,2,FALSE)</f>
        <v>585.51</v>
      </c>
      <c r="H152" s="2">
        <f>VLOOKUP(A152,'Samsung 005930'!A:E,2,FALSE)</f>
        <v>53200</v>
      </c>
      <c r="I152">
        <f>VLOOKUP(A152,Tesla!A:E,2,FALSE)</f>
        <v>403.84</v>
      </c>
      <c r="J152">
        <f>VLOOKUP(A152,Intel!A:E,2,FALSE)</f>
        <v>20.05</v>
      </c>
      <c r="K152">
        <f>VLOOKUP(A152,Tencent!A:E,2,FALSE)</f>
        <v>417</v>
      </c>
    </row>
    <row r="153" spans="1:11" x14ac:dyDescent="0.5">
      <c r="A153" s="3" t="str" cm="1">
        <f t="array" ref="A153">INDEX(Tencent!$A$2:$A$173,ROWS(Tencent!$A$2:$A$173)-ROW(A152)+1)</f>
        <v>01/01/2025</v>
      </c>
      <c r="B153">
        <f>VLOOKUP(A153,Apple!A:E,2,FALSE)</f>
        <v>236</v>
      </c>
      <c r="C153">
        <f>VLOOKUP(A153,Microsoft!A:E,2,FALSE)</f>
        <v>415.06</v>
      </c>
      <c r="D153">
        <f>VLOOKUP(A153,Google!A:E,2,FALSE)</f>
        <v>204.02</v>
      </c>
      <c r="E153">
        <f>VLOOKUP(A153,Amazon!A:E,2,FALSE)</f>
        <v>237.68</v>
      </c>
      <c r="F153">
        <f>VLOOKUP(A153,NVIDIA!A:E,2,FALSE)</f>
        <v>120.07</v>
      </c>
      <c r="G153">
        <f>VLOOKUP(A153,'Meta(Facebook)'!A:E,2,FALSE)</f>
        <v>689.18</v>
      </c>
      <c r="H153" s="2">
        <f>VLOOKUP(A153,'Samsung 005930'!A:E,2,FALSE)</f>
        <v>52400</v>
      </c>
      <c r="I153">
        <f>VLOOKUP(A153,Tesla!A:E,2,FALSE)</f>
        <v>404.6</v>
      </c>
      <c r="J153">
        <f>VLOOKUP(A153,Intel!A:E,2,FALSE)</f>
        <v>19.43</v>
      </c>
      <c r="K153">
        <f>VLOOKUP(A153,Tencent!A:E,2,FALSE)</f>
        <v>401.2</v>
      </c>
    </row>
    <row r="154" spans="1:11" x14ac:dyDescent="0.5">
      <c r="A154" s="3" t="str" cm="1">
        <f t="array" ref="A154">INDEX(Tencent!$A$2:$A$173,ROWS(Tencent!$A$2:$A$173)-ROW(A153)+1)</f>
        <v>02/01/2025</v>
      </c>
      <c r="B154">
        <f>VLOOKUP(A154,Apple!A:E,2,FALSE)</f>
        <v>241.84</v>
      </c>
      <c r="C154">
        <f>VLOOKUP(A154,Microsoft!A:E,2,FALSE)</f>
        <v>396.99</v>
      </c>
      <c r="D154">
        <f>VLOOKUP(A154,Google!A:E,2,FALSE)</f>
        <v>170.28</v>
      </c>
      <c r="E154">
        <f>VLOOKUP(A154,Amazon!A:E,2,FALSE)</f>
        <v>212.28</v>
      </c>
      <c r="F154">
        <f>VLOOKUP(A154,NVIDIA!A:E,2,FALSE)</f>
        <v>124.92</v>
      </c>
      <c r="G154">
        <f>VLOOKUP(A154,'Meta(Facebook)'!A:E,2,FALSE)</f>
        <v>668.2</v>
      </c>
      <c r="H154" s="2">
        <f>VLOOKUP(A154,'Samsung 005930'!A:E,2,FALSE)</f>
        <v>54500</v>
      </c>
      <c r="I154">
        <f>VLOOKUP(A154,Tesla!A:E,2,FALSE)</f>
        <v>292.98</v>
      </c>
      <c r="J154">
        <f>VLOOKUP(A154,Intel!A:E,2,FALSE)</f>
        <v>23.73</v>
      </c>
      <c r="K154">
        <f>VLOOKUP(A154,Tencent!A:E,2,FALSE)</f>
        <v>478.6</v>
      </c>
    </row>
    <row r="155" spans="1:11" x14ac:dyDescent="0.5">
      <c r="A155" s="3" t="str" cm="1">
        <f t="array" ref="A155">INDEX(Tencent!$A$2:$A$173,ROWS(Tencent!$A$2:$A$173)-ROW(A154)+1)</f>
        <v>03/01/2025</v>
      </c>
      <c r="B155">
        <f>VLOOKUP(A155,Apple!A:E,2,FALSE)</f>
        <v>222.13</v>
      </c>
      <c r="C155">
        <f>VLOOKUP(A155,Microsoft!A:E,2,FALSE)</f>
        <v>375.39</v>
      </c>
      <c r="D155">
        <f>VLOOKUP(A155,Google!A:E,2,FALSE)</f>
        <v>154.63999999999999</v>
      </c>
      <c r="E155">
        <f>VLOOKUP(A155,Amazon!A:E,2,FALSE)</f>
        <v>190.26</v>
      </c>
      <c r="F155">
        <f>VLOOKUP(A155,NVIDIA!A:E,2,FALSE)</f>
        <v>108.38</v>
      </c>
      <c r="G155">
        <f>VLOOKUP(A155,'Meta(Facebook)'!A:E,2,FALSE)</f>
        <v>576.36</v>
      </c>
      <c r="H155" s="2">
        <f>VLOOKUP(A155,'Samsung 005930'!A:E,2,FALSE)</f>
        <v>57800</v>
      </c>
      <c r="I155">
        <f>VLOOKUP(A155,Tesla!A:E,2,FALSE)</f>
        <v>259.16000000000003</v>
      </c>
      <c r="J155">
        <f>VLOOKUP(A155,Intel!A:E,2,FALSE)</f>
        <v>22.71</v>
      </c>
      <c r="K155">
        <f>VLOOKUP(A155,Tencent!A:E,2,FALSE)</f>
        <v>497</v>
      </c>
    </row>
    <row r="156" spans="1:11" x14ac:dyDescent="0.5">
      <c r="A156" s="3" t="str" cm="1">
        <f t="array" ref="A156">INDEX(Tencent!$A$2:$A$173,ROWS(Tencent!$A$2:$A$173)-ROW(A155)+1)</f>
        <v>04/01/2025</v>
      </c>
      <c r="B156">
        <f>VLOOKUP(A156,Apple!A:E,2,FALSE)</f>
        <v>212.5</v>
      </c>
      <c r="C156">
        <f>VLOOKUP(A156,Microsoft!A:E,2,FALSE)</f>
        <v>395.26</v>
      </c>
      <c r="D156">
        <f>VLOOKUP(A156,Google!A:E,2,FALSE)</f>
        <v>158.80000000000001</v>
      </c>
      <c r="E156">
        <f>VLOOKUP(A156,Amazon!A:E,2,FALSE)</f>
        <v>184.42</v>
      </c>
      <c r="F156">
        <f>VLOOKUP(A156,NVIDIA!A:E,2,FALSE)</f>
        <v>108.92</v>
      </c>
      <c r="G156">
        <f>VLOOKUP(A156,'Meta(Facebook)'!A:E,2,FALSE)</f>
        <v>549</v>
      </c>
      <c r="H156" s="2">
        <f>VLOOKUP(A156,'Samsung 005930'!A:E,2,FALSE)</f>
        <v>55500</v>
      </c>
      <c r="I156">
        <f>VLOOKUP(A156,Tesla!A:E,2,FALSE)</f>
        <v>282.16000000000003</v>
      </c>
      <c r="J156">
        <f>VLOOKUP(A156,Intel!A:E,2,FALSE)</f>
        <v>20.100000000000001</v>
      </c>
      <c r="K156">
        <f>VLOOKUP(A156,Tencent!A:E,2,FALSE)</f>
        <v>477.2</v>
      </c>
    </row>
    <row r="157" spans="1:11" x14ac:dyDescent="0.5">
      <c r="A157" s="3" t="str" cm="1">
        <f t="array" ref="A157">INDEX(Tencent!$A$2:$A$173,ROWS(Tencent!$A$2:$A$173)-ROW(A156)+1)</f>
        <v>05/01/2025</v>
      </c>
      <c r="B157">
        <f>VLOOKUP(A157,Apple!A:E,2,FALSE)</f>
        <v>200.85</v>
      </c>
      <c r="C157">
        <f>VLOOKUP(A157,Microsoft!A:E,2,FALSE)</f>
        <v>460.36</v>
      </c>
      <c r="D157">
        <f>VLOOKUP(A157,Google!A:E,2,FALSE)</f>
        <v>171.74</v>
      </c>
      <c r="E157">
        <f>VLOOKUP(A157,Amazon!A:E,2,FALSE)</f>
        <v>205.01</v>
      </c>
      <c r="F157">
        <f>VLOOKUP(A157,NVIDIA!A:E,2,FALSE)</f>
        <v>135.13</v>
      </c>
      <c r="G157">
        <f>VLOOKUP(A157,'Meta(Facebook)'!A:E,2,FALSE)</f>
        <v>647.49</v>
      </c>
      <c r="H157" s="2">
        <f>VLOOKUP(A157,'Samsung 005930'!A:E,2,FALSE)</f>
        <v>56200</v>
      </c>
      <c r="I157">
        <f>VLOOKUP(A157,Tesla!A:E,2,FALSE)</f>
        <v>346.46</v>
      </c>
      <c r="J157">
        <f>VLOOKUP(A157,Intel!A:E,2,FALSE)</f>
        <v>19.55</v>
      </c>
      <c r="K157">
        <f>VLOOKUP(A157,Tencent!A:E,2,FALSE)</f>
        <v>498.2</v>
      </c>
    </row>
    <row r="158" spans="1:11" x14ac:dyDescent="0.5">
      <c r="A158" s="3" t="str" cm="1">
        <f t="array" ref="A158">INDEX(Tencent!$A$2:$A$173,ROWS(Tencent!$A$2:$A$173)-ROW(A157)+1)</f>
        <v>06/01/2025</v>
      </c>
      <c r="B158">
        <f>VLOOKUP(A158,Apple!A:E,2,FALSE)</f>
        <v>205.17</v>
      </c>
      <c r="C158">
        <f>VLOOKUP(A158,Microsoft!A:E,2,FALSE)</f>
        <v>497.41</v>
      </c>
      <c r="D158">
        <f>VLOOKUP(A158,Google!A:E,2,FALSE)</f>
        <v>176.23</v>
      </c>
      <c r="E158">
        <f>VLOOKUP(A158,Amazon!A:E,2,FALSE)</f>
        <v>219.39</v>
      </c>
      <c r="F158">
        <f>VLOOKUP(A158,NVIDIA!A:E,2,FALSE)</f>
        <v>157.99</v>
      </c>
      <c r="G158">
        <f>VLOOKUP(A158,'Meta(Facebook)'!A:E,2,FALSE)</f>
        <v>738.09</v>
      </c>
      <c r="H158" s="2">
        <f>VLOOKUP(A158,'Samsung 005930'!A:E,2,FALSE)</f>
        <v>59800</v>
      </c>
      <c r="I158">
        <f>VLOOKUP(A158,Tesla!A:E,2,FALSE)</f>
        <v>317.66000000000003</v>
      </c>
      <c r="J158">
        <f>VLOOKUP(A158,Intel!A:E,2,FALSE)</f>
        <v>22.4</v>
      </c>
      <c r="K158">
        <f>VLOOKUP(A158,Tencent!A:E,2,FALSE)</f>
        <v>503</v>
      </c>
    </row>
    <row r="159" spans="1:11" x14ac:dyDescent="0.5">
      <c r="A159" s="3" cm="1">
        <f t="array" ref="A159">INDEX(Tencent!$A$2:$A$173,ROWS(Tencent!$A$2:$A$173)-ROW(A158)+1)</f>
        <v>45839</v>
      </c>
      <c r="B159">
        <f>VLOOKUP(A159,Apple!A:E,2,FALSE)</f>
        <v>207.57</v>
      </c>
      <c r="C159">
        <f>VLOOKUP(A159,Microsoft!A:E,2,FALSE)</f>
        <v>533.5</v>
      </c>
      <c r="D159">
        <f>VLOOKUP(A159,Google!A:E,2,FALSE)</f>
        <v>191.9</v>
      </c>
      <c r="E159">
        <f>VLOOKUP(A159,Amazon!A:E,2,FALSE)</f>
        <v>234.11</v>
      </c>
      <c r="F159">
        <f>VLOOKUP(A159,NVIDIA!A:E,2,FALSE)</f>
        <v>177.87</v>
      </c>
      <c r="G159">
        <f>VLOOKUP(A159,'Meta(Facebook)'!A:E,2,FALSE)</f>
        <v>773.44</v>
      </c>
      <c r="H159" s="2">
        <f>VLOOKUP(A159,'Samsung 005930'!A:E,2,FALSE)</f>
        <v>71400</v>
      </c>
      <c r="I159">
        <f>VLOOKUP(A159,Tesla!A:E,2,FALSE)</f>
        <v>308.27</v>
      </c>
      <c r="J159">
        <f>VLOOKUP(A159,Intel!A:E,2,FALSE)</f>
        <v>19.8</v>
      </c>
      <c r="K159">
        <f>VLOOKUP(A159,Tencent!A:E,2,FALSE)</f>
        <v>550</v>
      </c>
    </row>
    <row r="160" spans="1:11" x14ac:dyDescent="0.5">
      <c r="A160" s="3" cm="1">
        <f t="array" ref="A160">INDEX(Tencent!$A$2:$A$173,ROWS(Tencent!$A$2:$A$173)-ROW(A159)+1)</f>
        <v>45870</v>
      </c>
      <c r="B160">
        <f>VLOOKUP(A160,Apple!A:E,2,FALSE)</f>
        <v>232.14</v>
      </c>
      <c r="C160">
        <f>VLOOKUP(A160,Microsoft!A:E,2,FALSE)</f>
        <v>506.69</v>
      </c>
      <c r="D160">
        <f>VLOOKUP(A160,Google!A:E,2,FALSE)</f>
        <v>212.91</v>
      </c>
      <c r="E160">
        <f>VLOOKUP(A160,Amazon!A:E,2,FALSE)</f>
        <v>229</v>
      </c>
      <c r="F160">
        <f>VLOOKUP(A160,NVIDIA!A:E,2,FALSE)</f>
        <v>174.18</v>
      </c>
      <c r="G160">
        <f>VLOOKUP(A160,'Meta(Facebook)'!A:E,2,FALSE)</f>
        <v>738.7</v>
      </c>
      <c r="H160" s="2">
        <f>VLOOKUP(A160,'Samsung 005930'!A:E,2,FALSE)</f>
        <v>69700</v>
      </c>
      <c r="I160">
        <f>VLOOKUP(A160,Tesla!A:E,2,FALSE)</f>
        <v>333.87</v>
      </c>
      <c r="J160">
        <f>VLOOKUP(A160,Intel!A:E,2,FALSE)</f>
        <v>24.35</v>
      </c>
      <c r="K160">
        <f>VLOOKUP(A160,Tencent!A:E,2,FALSE)</f>
        <v>596.5</v>
      </c>
    </row>
    <row r="161" spans="1:11" x14ac:dyDescent="0.5">
      <c r="A161" s="3" cm="1">
        <f t="array" ref="A161">INDEX(Tencent!$A$2:$A$173,ROWS(Tencent!$A$2:$A$173)-ROW(A160)+1)</f>
        <v>45901</v>
      </c>
      <c r="B161">
        <f>VLOOKUP(A161,Apple!A:E,2,FALSE)</f>
        <v>254.63</v>
      </c>
      <c r="C161">
        <f>VLOOKUP(A161,Microsoft!A:E,2,FALSE)</f>
        <v>517.95000000000005</v>
      </c>
      <c r="D161">
        <f>VLOOKUP(A161,Google!A:E,2,FALSE)</f>
        <v>243.1</v>
      </c>
      <c r="E161">
        <f>VLOOKUP(A161,Amazon!A:E,2,FALSE)</f>
        <v>219.57</v>
      </c>
      <c r="F161">
        <f>VLOOKUP(A161,NVIDIA!A:E,2,FALSE)</f>
        <v>186.58</v>
      </c>
      <c r="G161">
        <f>VLOOKUP(A161,'Meta(Facebook)'!A:E,2,FALSE)</f>
        <v>734.38</v>
      </c>
      <c r="H161" s="2">
        <f>VLOOKUP(A161,'Samsung 005930'!A:E,2,FALSE)</f>
        <v>83900</v>
      </c>
      <c r="I161">
        <f>VLOOKUP(A161,Tesla!A:E,2,FALSE)</f>
        <v>444.72</v>
      </c>
      <c r="J161">
        <f>VLOOKUP(A161,Intel!A:E,2,FALSE)</f>
        <v>33.549999999999997</v>
      </c>
      <c r="K161">
        <f>VLOOKUP(A161,Tencent!A:E,2,FALSE)</f>
        <v>663</v>
      </c>
    </row>
    <row r="162" spans="1:11" x14ac:dyDescent="0.5">
      <c r="A162" s="3" cm="1">
        <f t="array" ref="A162">INDEX(Tencent!$A$2:$A$173,ROWS(Tencent!$A$2:$A$173)-ROW(A161)+1)</f>
        <v>45931</v>
      </c>
      <c r="B162">
        <f>VLOOKUP(A162,Apple!A:E,2,FALSE)</f>
        <v>270.37</v>
      </c>
      <c r="C162">
        <f>VLOOKUP(A162,Microsoft!A:E,2,FALSE)</f>
        <v>517.80999999999995</v>
      </c>
      <c r="D162">
        <f>VLOOKUP(A162,Google!A:E,2,FALSE)</f>
        <v>281.19</v>
      </c>
      <c r="E162">
        <f>VLOOKUP(A162,Amazon!A:E,2,FALSE)</f>
        <v>244.22</v>
      </c>
      <c r="F162">
        <f>VLOOKUP(A162,NVIDIA!A:E,2,FALSE)</f>
        <v>202.49</v>
      </c>
      <c r="G162">
        <f>VLOOKUP(A162,'Meta(Facebook)'!A:E,2,FALSE)</f>
        <v>648.35</v>
      </c>
      <c r="H162" s="2">
        <f>VLOOKUP(A162,'Samsung 005930'!A:E,2,FALSE)</f>
        <v>107500</v>
      </c>
      <c r="I162">
        <f>VLOOKUP(A162,Tesla!A:E,2,FALSE)</f>
        <v>456.56</v>
      </c>
      <c r="J162">
        <f>VLOOKUP(A162,Intel!A:E,2,FALSE)</f>
        <v>39.99</v>
      </c>
      <c r="K162">
        <f>VLOOKUP(A162,Tencent!A:E,2,FALSE)</f>
        <v>629</v>
      </c>
    </row>
    <row r="163" spans="1:11" x14ac:dyDescent="0.5">
      <c r="A163" s="3" cm="1">
        <f t="array" ref="A163">INDEX(Tencent!$A$2:$A$173,ROWS(Tencent!$A$2:$A$173)-ROW(A162)+1)</f>
        <v>45962</v>
      </c>
      <c r="B163">
        <f>VLOOKUP(A163,Apple!A:E,2,FALSE)</f>
        <v>278.85000000000002</v>
      </c>
      <c r="C163">
        <f>VLOOKUP(A163,Microsoft!A:E,2,FALSE)</f>
        <v>492.01</v>
      </c>
      <c r="D163">
        <f>VLOOKUP(A163,Google!A:E,2,FALSE)</f>
        <v>320.18</v>
      </c>
      <c r="E163">
        <f>VLOOKUP(A163,Amazon!A:E,2,FALSE)</f>
        <v>233.22</v>
      </c>
      <c r="F163">
        <f>VLOOKUP(A163,NVIDIA!A:E,2,FALSE)</f>
        <v>177</v>
      </c>
      <c r="G163">
        <f>VLOOKUP(A163,'Meta(Facebook)'!A:E,2,FALSE)</f>
        <v>647.95000000000005</v>
      </c>
      <c r="H163" s="2">
        <f>VLOOKUP(A163,'Samsung 005930'!A:E,2,FALSE)</f>
        <v>100500</v>
      </c>
      <c r="I163">
        <f>VLOOKUP(A163,Tesla!A:E,2,FALSE)</f>
        <v>430.17</v>
      </c>
      <c r="J163">
        <f>VLOOKUP(A163,Intel!A:E,2,FALSE)</f>
        <v>40.56</v>
      </c>
      <c r="K163">
        <f>VLOOKUP(A163,Tencent!A:E,2,FALSE)</f>
        <v>611.5</v>
      </c>
    </row>
    <row r="164" spans="1:11" x14ac:dyDescent="0.5">
      <c r="A164" s="3" cm="1">
        <f t="array" ref="A164">INDEX(Tencent!$A$2:$A$173,ROWS(Tencent!$A$2:$A$173)-ROW(A163)+1)</f>
        <v>45992</v>
      </c>
      <c r="B164">
        <f>VLOOKUP(A164,Apple!A:E,2,FALSE)</f>
        <v>271.86</v>
      </c>
      <c r="C164">
        <f>VLOOKUP(A164,Microsoft!A:E,2,FALSE)</f>
        <v>483.62</v>
      </c>
      <c r="D164">
        <f>VLOOKUP(A164,Google!A:E,2,FALSE)</f>
        <v>313</v>
      </c>
      <c r="E164">
        <f>VLOOKUP(A164,Amazon!A:E,2,FALSE)</f>
        <v>230.82</v>
      </c>
      <c r="F164">
        <f>VLOOKUP(A164,NVIDIA!A:E,2,FALSE)</f>
        <v>186.5</v>
      </c>
      <c r="G164">
        <f>VLOOKUP(A164,'Meta(Facebook)'!A:E,2,FALSE)</f>
        <v>660.09</v>
      </c>
      <c r="H164" s="2">
        <f>VLOOKUP(A164,'Samsung 005930'!A:E,2,FALSE)</f>
        <v>119900</v>
      </c>
      <c r="I164">
        <f>VLOOKUP(A164,Tesla!A:E,2,FALSE)</f>
        <v>449.72</v>
      </c>
      <c r="J164">
        <f>VLOOKUP(A164,Intel!A:E,2,FALSE)</f>
        <v>36.9</v>
      </c>
      <c r="K164">
        <f>VLOOKUP(A164,Tencent!A:E,2,FALSE)</f>
        <v>599</v>
      </c>
    </row>
    <row r="165" spans="1:11" x14ac:dyDescent="0.5">
      <c r="A165" s="3" cm="1">
        <f t="array" ref="A165">INDEX(Tencent!$A$2:$A$173,ROWS(Tencent!$A$2:$A$173)-ROW(A164)+1)</f>
        <v>46023</v>
      </c>
      <c r="B165">
        <f>VLOOKUP(A165,Apple!A:E,2,FALSE)</f>
        <v>259.48</v>
      </c>
      <c r="C165">
        <f>VLOOKUP(A165,Microsoft!A:E,2,FALSE)</f>
        <v>430.29</v>
      </c>
      <c r="D165">
        <f>VLOOKUP(A165,Google!A:E,2,FALSE)</f>
        <v>338</v>
      </c>
      <c r="E165">
        <f>VLOOKUP(A165,Amazon!A:E,2,FALSE)</f>
        <v>239.3</v>
      </c>
      <c r="F165">
        <f>VLOOKUP(A165,NVIDIA!A:E,2,FALSE)</f>
        <v>191.13</v>
      </c>
      <c r="G165">
        <f>VLOOKUP(A165,'Meta(Facebook)'!A:E,2,FALSE)</f>
        <v>716.5</v>
      </c>
      <c r="H165" s="2">
        <f>VLOOKUP(A165,'Samsung 005930'!A:E,2,FALSE)</f>
        <v>160500</v>
      </c>
      <c r="I165">
        <f>VLOOKUP(A165,Tesla!A:E,2,FALSE)</f>
        <v>430.41</v>
      </c>
      <c r="J165">
        <f>VLOOKUP(A165,Intel!A:E,2,FALSE)</f>
        <v>46.47</v>
      </c>
      <c r="K165">
        <f>VLOOKUP(A165,Tencent!A:E,2,FALSE)</f>
        <v>606</v>
      </c>
    </row>
    <row r="166" spans="1:11" x14ac:dyDescent="0.5">
      <c r="A166" s="3" cm="1">
        <f t="array" ref="A166">INDEX(Tencent!$A$2:$A$173,ROWS(Tencent!$A$2:$A$173)-ROW(A165)+1)</f>
        <v>46054</v>
      </c>
      <c r="B166">
        <f>VLOOKUP(A166,Apple!A:E,2,FALSE)</f>
        <v>264.18</v>
      </c>
      <c r="C166">
        <f>VLOOKUP(A166,Microsoft!A:E,2,FALSE)</f>
        <v>392.74</v>
      </c>
      <c r="D166">
        <f>VLOOKUP(A166,Google!A:E,2,FALSE)</f>
        <v>311.76</v>
      </c>
      <c r="E166">
        <f>VLOOKUP(A166,Amazon!A:E,2,FALSE)</f>
        <v>210</v>
      </c>
      <c r="F166">
        <f>VLOOKUP(A166,NVIDIA!A:E,2,FALSE)</f>
        <v>177.19</v>
      </c>
      <c r="G166">
        <f>VLOOKUP(A166,'Meta(Facebook)'!A:E,2,FALSE)</f>
        <v>648.17999999999995</v>
      </c>
      <c r="H166" s="2">
        <f>VLOOKUP(A166,'Samsung 005930'!A:E,2,FALSE)</f>
        <v>216500</v>
      </c>
      <c r="I166">
        <f>VLOOKUP(A166,Tesla!A:E,2,FALSE)</f>
        <v>402.51</v>
      </c>
      <c r="J166">
        <f>VLOOKUP(A166,Intel!A:E,2,FALSE)</f>
        <v>45.61</v>
      </c>
      <c r="K166">
        <f>VLOOKUP(A166,Tencent!A:E,2,FALSE)</f>
        <v>518</v>
      </c>
    </row>
    <row r="167" spans="1:11" x14ac:dyDescent="0.5">
      <c r="A167" s="3" cm="1">
        <f t="array" ref="A167">INDEX(Tencent!$A$2:$A$173,ROWS(Tencent!$A$2:$A$173)-ROW(A166)+1)</f>
        <v>46082</v>
      </c>
      <c r="B167">
        <f>VLOOKUP(A167,Apple!A:E,2,FALSE)</f>
        <v>253.79</v>
      </c>
      <c r="C167">
        <f>VLOOKUP(A167,Microsoft!A:E,2,FALSE)</f>
        <v>370.17</v>
      </c>
      <c r="D167">
        <f>VLOOKUP(A167,Google!A:E,2,FALSE)</f>
        <v>287.56</v>
      </c>
      <c r="E167">
        <f>VLOOKUP(A167,Amazon!A:E,2,FALSE)</f>
        <v>208.27</v>
      </c>
      <c r="F167">
        <f>VLOOKUP(A167,NVIDIA!A:E,2,FALSE)</f>
        <v>174.4</v>
      </c>
      <c r="G167">
        <f>VLOOKUP(A167,'Meta(Facebook)'!A:E,2,FALSE)</f>
        <v>572.13</v>
      </c>
      <c r="H167" s="2">
        <f>VLOOKUP(A167,'Samsung 005930'!A:E,2,FALSE)</f>
        <v>167200</v>
      </c>
      <c r="I167">
        <f>VLOOKUP(A167,Tesla!A:E,2,FALSE)</f>
        <v>371.75</v>
      </c>
      <c r="J167">
        <f>VLOOKUP(A167,Intel!A:E,2,FALSE)</f>
        <v>44.13</v>
      </c>
      <c r="K167">
        <f>VLOOKUP(A167,Tencent!A:E,2,FALSE)</f>
        <v>484</v>
      </c>
    </row>
    <row r="168" spans="1:11" x14ac:dyDescent="0.5">
      <c r="A168" s="3" cm="1">
        <f t="array" ref="A168">INDEX(Tencent!$A$2:$A$173,ROWS(Tencent!$A$2:$A$173)-ROW(A167)+1)</f>
        <v>46113</v>
      </c>
      <c r="B168">
        <f>VLOOKUP(A168,Apple!A:E,2,FALSE)</f>
        <v>271.35000000000002</v>
      </c>
      <c r="C168">
        <f>VLOOKUP(A168,Microsoft!A:E,2,FALSE)</f>
        <v>407.78</v>
      </c>
      <c r="D168">
        <f>VLOOKUP(A168,Google!A:E,2,FALSE)</f>
        <v>384.8</v>
      </c>
      <c r="E168">
        <f>VLOOKUP(A168,Amazon!A:E,2,FALSE)</f>
        <v>265.06</v>
      </c>
      <c r="F168">
        <f>VLOOKUP(A168,NVIDIA!A:E,2,FALSE)</f>
        <v>199.57</v>
      </c>
      <c r="G168">
        <f>VLOOKUP(A168,'Meta(Facebook)'!A:E,2,FALSE)</f>
        <v>611.91</v>
      </c>
      <c r="H168" s="2">
        <f>VLOOKUP(A168,'Samsung 005930'!A:E,2,FALSE)</f>
        <v>220500</v>
      </c>
      <c r="I168">
        <f>VLOOKUP(A168,Tesla!A:E,2,FALSE)</f>
        <v>381.63</v>
      </c>
      <c r="J168">
        <f>VLOOKUP(A168,Intel!A:E,2,FALSE)</f>
        <v>94.48</v>
      </c>
      <c r="K168">
        <f>VLOOKUP(A168,Tencent!A:E,2,FALSE)</f>
        <v>467.8</v>
      </c>
    </row>
    <row r="169" spans="1:11" x14ac:dyDescent="0.5">
      <c r="A169" s="3" cm="1">
        <f t="array" ref="A169">INDEX(Tencent!$A$2:$A$173,ROWS(Tencent!$A$2:$A$173)-ROW(A168)+1)</f>
        <v>46143</v>
      </c>
      <c r="B169">
        <f>VLOOKUP(A169,Apple!A:E,2,FALSE)</f>
        <v>312.06</v>
      </c>
      <c r="C169">
        <f>VLOOKUP(A169,Microsoft!A:E,2,FALSE)</f>
        <v>450.24</v>
      </c>
      <c r="D169">
        <f>VLOOKUP(A169,Google!A:E,2,FALSE)</f>
        <v>380.34</v>
      </c>
      <c r="E169">
        <f>VLOOKUP(A169,Amazon!A:E,2,FALSE)</f>
        <v>270.64</v>
      </c>
      <c r="F169">
        <f>VLOOKUP(A169,NVIDIA!A:E,2,FALSE)</f>
        <v>211.14</v>
      </c>
      <c r="G169">
        <f>VLOOKUP(A169,'Meta(Facebook)'!A:E,2,FALSE)</f>
        <v>632.51</v>
      </c>
      <c r="H169" s="2">
        <f>VLOOKUP(A169,'Samsung 005930'!A:E,2,FALSE)</f>
        <v>317000</v>
      </c>
      <c r="I169">
        <f>VLOOKUP(A169,Tesla!A:E,2,FALSE)</f>
        <v>435.79</v>
      </c>
      <c r="J169">
        <f>VLOOKUP(A169,Intel!A:E,2,FALSE)</f>
        <v>114.68</v>
      </c>
      <c r="K169">
        <f>VLOOKUP(A169,Tencent!A:E,2,FALSE)</f>
        <v>427.2</v>
      </c>
    </row>
    <row r="170" spans="1:11" x14ac:dyDescent="0.5">
      <c r="A170" s="3" cm="1">
        <f t="array" ref="A170">INDEX(Tencent!$A$2:$A$173,ROWS(Tencent!$A$2:$A$173)-ROW(A169)+1)</f>
        <v>46174</v>
      </c>
      <c r="B170">
        <f>VLOOKUP(A170,Apple!A:E,2,FALSE)</f>
        <v>289.36</v>
      </c>
      <c r="C170">
        <f>VLOOKUP(A170,Microsoft!A:E,2,FALSE)</f>
        <v>373.02</v>
      </c>
      <c r="D170">
        <f>VLOOKUP(A170,Google!A:E,2,FALSE)</f>
        <v>357.37</v>
      </c>
      <c r="E170">
        <f>VLOOKUP(A170,Amazon!A:E,2,FALSE)</f>
        <v>238.34</v>
      </c>
      <c r="F170">
        <f>VLOOKUP(A170,NVIDIA!A:E,2,FALSE)</f>
        <v>200.09</v>
      </c>
      <c r="G170">
        <f>VLOOKUP(A170,'Meta(Facebook)'!A:E,2,FALSE)</f>
        <v>563.29</v>
      </c>
      <c r="H170" s="2">
        <f>VLOOKUP(A170,'Samsung 005930'!A:E,2,FALSE)</f>
        <v>334000</v>
      </c>
      <c r="I170">
        <f>VLOOKUP(A170,Tesla!A:E,2,FALSE)</f>
        <v>420.6</v>
      </c>
      <c r="J170">
        <f>VLOOKUP(A170,Intel!A:E,2,FALSE)</f>
        <v>139.63</v>
      </c>
      <c r="K170">
        <f>VLOOKUP(A170,Tencent!A:E,2,FALSE)</f>
        <v>429.8</v>
      </c>
    </row>
    <row r="171" spans="1:11" x14ac:dyDescent="0.5">
      <c r="A171" s="3" cm="1">
        <f t="array" ref="A171">INDEX(Tencent!$A$2:$A$173,ROWS(Tencent!$A$2:$A$173)-ROW(A170)+1)</f>
        <v>46204</v>
      </c>
      <c r="B171">
        <f>VLOOKUP(A171,Apple!A:E,2,FALSE)</f>
        <v>308.91000000000003</v>
      </c>
      <c r="C171">
        <f>VLOOKUP(A171,Microsoft!A:E,2,FALSE)</f>
        <v>464.72</v>
      </c>
      <c r="D171">
        <f>VLOOKUP(A171,Google!A:E,2,FALSE)</f>
        <v>356.13</v>
      </c>
      <c r="E171">
        <f>VLOOKUP(A171,Amazon!A:E,2,FALSE)</f>
        <v>271.58</v>
      </c>
      <c r="F171">
        <f>VLOOKUP(A171,NVIDIA!A:E,2,FALSE)</f>
        <v>200.75</v>
      </c>
      <c r="G171">
        <f>VLOOKUP(A171,'Meta(Facebook)'!A:E,2,FALSE)</f>
        <v>556.71</v>
      </c>
      <c r="H171" s="2">
        <f>VLOOKUP(A171,'Samsung 005930'!A:E,2,FALSE)</f>
        <v>262500</v>
      </c>
      <c r="I171">
        <f>VLOOKUP(A171,Tesla!A:E,2,FALSE)</f>
        <v>311.20999999999998</v>
      </c>
      <c r="J171">
        <f>VLOOKUP(A171,Intel!A:E,2,FALSE)</f>
        <v>90.2</v>
      </c>
      <c r="K171">
        <f>VLOOKUP(A171,Tencent!A:E,2,FALSE)</f>
        <v>475.2</v>
      </c>
    </row>
    <row r="172" spans="1:11" x14ac:dyDescent="0.5">
      <c r="A172" s="3" cm="1">
        <f t="array" ref="A172">INDEX(Tencent!$A$2:$A$173,ROWS(Tencent!$A$2:$A$173)-ROW(A171)+1)</f>
        <v>46235</v>
      </c>
      <c r="B172">
        <f>VLOOKUP(A172,Apple!A:E,2,FALSE)</f>
        <v>316.85000000000002</v>
      </c>
      <c r="C172">
        <f>VLOOKUP(A172,Microsoft!A:E,2,FALSE)</f>
        <v>507.29</v>
      </c>
      <c r="D172">
        <f>VLOOKUP(A172,Google!A:E,2,FALSE)</f>
        <v>339.35</v>
      </c>
      <c r="E172">
        <f>VLOOKUP(A172,Amazon!A:E,2,FALSE)</f>
        <v>259.77</v>
      </c>
      <c r="F172">
        <f>VLOOKUP(A172,NVIDIA!A:E,2,FALSE)</f>
        <v>220.78</v>
      </c>
      <c r="G172">
        <f>VLOOKUP(A172,'Meta(Facebook)'!A:E,2,FALSE)</f>
        <v>572.34</v>
      </c>
      <c r="H172" s="2">
        <f>VLOOKUP(A172,'Samsung 005930'!A:E,2,FALSE)</f>
        <v>260000</v>
      </c>
      <c r="I172">
        <f>VLOOKUP(A172,Tesla!A:E,2,FALSE)</f>
        <v>367.95</v>
      </c>
      <c r="J172">
        <f>VLOOKUP(A172,Intel!A:E,2,FALSE)</f>
        <v>89.51</v>
      </c>
      <c r="K172">
        <f>VLOOKUP(A172,Tencent!A:E,2,FALSE)</f>
        <v>453</v>
      </c>
    </row>
    <row r="173" spans="1:11" x14ac:dyDescent="0.5">
      <c r="A173" s="3" cm="1">
        <f t="array" ref="A173">INDEX(Tencent!$A$2:$A$173,ROWS(Tencent!$A$2:$A$173)-ROW(A172)+1)</f>
        <v>46266</v>
      </c>
      <c r="B173">
        <f>VLOOKUP(A173,Apple!A:E,2,FALSE)</f>
        <v>336.13</v>
      </c>
      <c r="C173">
        <f>VLOOKUP(A173,Microsoft!A:E,2,FALSE)</f>
        <v>493.78</v>
      </c>
      <c r="D173">
        <f>VLOOKUP(A173,Google!A:E,2,FALSE)</f>
        <v>349.54</v>
      </c>
      <c r="E173">
        <f>VLOOKUP(A173,Amazon!A:E,2,FALSE)</f>
        <v>253.71</v>
      </c>
      <c r="F173">
        <f>VLOOKUP(A173,NVIDIA!A:E,2,FALSE)</f>
        <v>222.27</v>
      </c>
      <c r="G173">
        <f>VLOOKUP(A173,'Meta(Facebook)'!A:E,2,FALSE)</f>
        <v>665.75</v>
      </c>
      <c r="H173" s="2">
        <f>VLOOKUP(A173,'Samsung 005930'!A:E,2,FALSE)</f>
        <v>261000</v>
      </c>
      <c r="I173">
        <f>VLOOKUP(A173,Tesla!A:E,2,FALSE)</f>
        <v>364.27</v>
      </c>
      <c r="J173">
        <f>VLOOKUP(A173,Intel!A:E,2,FALSE)</f>
        <v>108.6</v>
      </c>
      <c r="K173">
        <f>VLOOKUP(A173,Tencent!A:E,2,FALSE)</f>
        <v>419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E5CB-F5D7-4687-90FF-C9C292B5B2E8}">
  <dimension ref="A1:K173"/>
  <sheetViews>
    <sheetView tabSelected="1" workbookViewId="0">
      <selection activeCell="L21" sqref="L21"/>
    </sheetView>
  </sheetViews>
  <sheetFormatPr defaultRowHeight="15.75" x14ac:dyDescent="0.5"/>
  <cols>
    <col min="1" max="1" width="10.8125" customWidth="1"/>
    <col min="2" max="11" width="9.1875" bestFit="1" customWidth="1"/>
  </cols>
  <sheetData>
    <row r="1" spans="1:11" x14ac:dyDescent="0.5">
      <c r="A1" t="s">
        <v>0</v>
      </c>
      <c r="B1" t="s">
        <v>1454</v>
      </c>
      <c r="C1" t="s">
        <v>1455</v>
      </c>
      <c r="D1" t="s">
        <v>1456</v>
      </c>
      <c r="E1" t="s">
        <v>1457</v>
      </c>
      <c r="F1" t="s">
        <v>1458</v>
      </c>
      <c r="G1" t="s">
        <v>1493</v>
      </c>
      <c r="H1" t="s">
        <v>1459</v>
      </c>
      <c r="I1" t="s">
        <v>1460</v>
      </c>
      <c r="J1" t="s">
        <v>1461</v>
      </c>
      <c r="K1" t="s">
        <v>1462</v>
      </c>
    </row>
    <row r="2" spans="1:11" x14ac:dyDescent="0.5">
      <c r="A2" s="3" t="str" cm="1">
        <f t="array" ref="A2">INDEX(Tencent!$A$2:$A$173,ROWS(Tencent!$A$2:$A$173)-ROW(A1)+1)</f>
        <v>06/01/2012</v>
      </c>
      <c r="B2" s="4">
        <f>(Apple!D2-Apple!E2)/Apple!E2</f>
        <v>9.2255566311713569E-2</v>
      </c>
      <c r="C2" s="4">
        <f>(Microsoft!D2-Microsoft!E2)/Microsoft!E2</f>
        <v>6.1008230452674853E-2</v>
      </c>
      <c r="D2" s="4">
        <f>(Google!D2-Google!E2)/Google!E2</f>
        <v>9.6723012143772463E-2</v>
      </c>
      <c r="E2" s="4">
        <f>(Amazon!D2-Amazon!E2)/Amazon!E2</f>
        <v>6.8849774866966806E-2</v>
      </c>
      <c r="F2" s="4">
        <f>(NVIDIA!D2-NVIDIA!E2)/NVIDIA!E2</f>
        <v>0.12362992389795617</v>
      </c>
      <c r="G2" s="4">
        <f>('Meta(Facebook)'!D2-'Meta(Facebook)'!E2)/'Meta(Facebook)'!E2</f>
        <v>0.24105376730803804</v>
      </c>
      <c r="H2" s="4">
        <f>('Samsung 005930'!D2-'Samsung 005930'!E2)/'Samsung 005930'!E2</f>
        <v>0.14814814814814814</v>
      </c>
      <c r="I2" s="4">
        <f>(Tesla!D2-Tesla!E2)/Tesla!E2</f>
        <v>9.7508001828989485E-2</v>
      </c>
      <c r="J2" s="4">
        <f>(Intel!D2-Intel!E2)/Intel!E2</f>
        <v>0.29923005132991143</v>
      </c>
      <c r="K2" s="4">
        <f>(Tencent!D2-Tencent!E2)/Tencent!E2</f>
        <v>6.8257756563245883E-2</v>
      </c>
    </row>
    <row r="3" spans="1:11" x14ac:dyDescent="0.5">
      <c r="A3" s="3" t="str" cm="1">
        <f t="array" ref="A3">INDEX(Tencent!$A$2:$A$173,ROWS(Tencent!$A$2:$A$173)-ROW(A2)+1)</f>
        <v>07/01/2012</v>
      </c>
      <c r="B3" s="4">
        <f>(Apple!D3-Apple!E3)/Apple!E3</f>
        <v>7.2528861829191243E-2</v>
      </c>
      <c r="C3" s="4">
        <f>(Microsoft!D3-Microsoft!E3)/Microsoft!E3</f>
        <v>9.0063157894736789E-2</v>
      </c>
      <c r="D3" s="4">
        <f>(Google!D3-Google!E3)/Google!E3</f>
        <v>0.14034879582394114</v>
      </c>
      <c r="E3" s="4">
        <f>(Amazon!D3-Amazon!E3)/Amazon!E3</f>
        <v>0.12618618147596258</v>
      </c>
      <c r="F3" s="4">
        <f>(NVIDIA!D3-NVIDIA!E3)/NVIDIA!E3</f>
        <v>0.1707899415798832</v>
      </c>
      <c r="G3" s="4">
        <f>('Meta(Facebook)'!D3-'Meta(Facebook)'!E3)/'Meta(Facebook)'!E3</f>
        <v>0.13989241908165348</v>
      </c>
      <c r="H3" s="4">
        <f>('Samsung 005930'!D3-'Samsung 005930'!E3)/'Samsung 005930'!E3</f>
        <v>0.26593406593406593</v>
      </c>
      <c r="I3" s="4">
        <f>(Tesla!D3-Tesla!E3)/Tesla!E3</f>
        <v>0.18845435216803041</v>
      </c>
      <c r="J3" s="4">
        <f>(Intel!D3-Intel!E3)/Intel!E3</f>
        <v>0.26344843786704242</v>
      </c>
      <c r="K3" s="4">
        <f>(Tencent!D3-Tencent!E3)/Tencent!E3</f>
        <v>0.14174311926605507</v>
      </c>
    </row>
    <row r="4" spans="1:11" x14ac:dyDescent="0.5">
      <c r="A4" s="3" t="str" cm="1">
        <f t="array" ref="A4">INDEX(Tencent!$A$2:$A$173,ROWS(Tencent!$A$2:$A$173)-ROW(A3)+1)</f>
        <v>08/01/2012</v>
      </c>
      <c r="B4" s="4">
        <f>(Apple!D4-Apple!E4)/Apple!E4</f>
        <v>0.19145919778699863</v>
      </c>
      <c r="C4" s="4">
        <f>(Microsoft!D4-Microsoft!E4)/Microsoft!E4</f>
        <v>0.25040846390786109</v>
      </c>
      <c r="D4" s="4">
        <f>(Google!D4-Google!E4)/Google!E4</f>
        <v>0.19171165449349004</v>
      </c>
      <c r="E4" s="4">
        <f>(Amazon!D4-Amazon!E4)/Amazon!E4</f>
        <v>0.20812698974177582</v>
      </c>
      <c r="F4" s="4">
        <f>(NVIDIA!D4-NVIDIA!E4)/NVIDIA!E4</f>
        <v>0.12830903636650701</v>
      </c>
      <c r="G4" s="4">
        <f>('Meta(Facebook)'!D4-'Meta(Facebook)'!E4)/'Meta(Facebook)'!E4</f>
        <v>0.30808976338919719</v>
      </c>
      <c r="H4" s="4">
        <f>('Samsung 005930'!D4-'Samsung 005930'!E4)/'Samsung 005930'!E4</f>
        <v>0.79175475687103591</v>
      </c>
      <c r="I4" s="4">
        <f>(Tesla!D4-Tesla!E4)/Tesla!E4</f>
        <v>0.45557872082856959</v>
      </c>
      <c r="J4" s="4">
        <f>(Intel!D4-Intel!E4)/Intel!E4</f>
        <v>0.65961608998655086</v>
      </c>
      <c r="K4" s="4">
        <f>(Tencent!D4-Tencent!E4)/Tencent!E4</f>
        <v>0.1631405735778092</v>
      </c>
    </row>
    <row r="5" spans="1:11" x14ac:dyDescent="0.5">
      <c r="A5" s="3" t="str" cm="1">
        <f t="array" ref="A5">INDEX(Tencent!$A$2:$A$173,ROWS(Tencent!$A$2:$A$173)-ROW(A4)+1)</f>
        <v>09/01/2012</v>
      </c>
      <c r="B5" s="4">
        <f>(Apple!D5-Apple!E5)/Apple!E5</f>
        <v>0.15945205479452046</v>
      </c>
      <c r="C5" s="4">
        <f>(Microsoft!D5-Microsoft!E5)/Microsoft!E5</f>
        <v>0.33539518900343646</v>
      </c>
      <c r="D5" s="4">
        <f>(Google!D5-Google!E5)/Google!E5</f>
        <v>0.14645669291338587</v>
      </c>
      <c r="E5" s="4">
        <f>(Amazon!D5-Amazon!E5)/Amazon!E5</f>
        <v>0.18213256484149848</v>
      </c>
      <c r="F5" s="4">
        <f>(NVIDIA!D5-NVIDIA!E5)/NVIDIA!E5</f>
        <v>0.22381454162276074</v>
      </c>
      <c r="G5" s="4">
        <f>('Meta(Facebook)'!D5-'Meta(Facebook)'!E5)/'Meta(Facebook)'!E5</f>
        <v>0.18923321855677744</v>
      </c>
      <c r="H5" s="4">
        <f>('Samsung 005930'!D5-'Samsung 005930'!E5)/'Samsung 005930'!E5</f>
        <v>0.30260869565217391</v>
      </c>
      <c r="I5" s="4">
        <f>(Tesla!D5-Tesla!E5)/Tesla!E5</f>
        <v>0.17634291915355399</v>
      </c>
      <c r="J5" s="4">
        <f>(Intel!D5-Intel!E5)/Intel!E5</f>
        <v>0.44767619241330209</v>
      </c>
      <c r="K5" s="4">
        <f>(Tencent!D5-Tencent!E5)/Tencent!E5</f>
        <v>0.17956204379562046</v>
      </c>
    </row>
    <row r="6" spans="1:11" x14ac:dyDescent="0.5">
      <c r="A6" s="3" t="str" cm="1">
        <f t="array" ref="A6">INDEX(Tencent!$A$2:$A$173,ROWS(Tencent!$A$2:$A$173)-ROW(A5)+1)</f>
        <v>10/01/2012</v>
      </c>
      <c r="B6" s="4">
        <f>(Apple!D6-Apple!E6)/Apple!E6</f>
        <v>0.1460379829731499</v>
      </c>
      <c r="C6" s="4">
        <f>(Microsoft!D6-Microsoft!E6)/Microsoft!E6</f>
        <v>0.12335362203153061</v>
      </c>
      <c r="D6" s="4">
        <f>(Google!D6-Google!E6)/Google!E6</f>
        <v>7.9664957987634191E-2</v>
      </c>
      <c r="E6" s="4">
        <f>(Amazon!D6-Amazon!E6)/Amazon!E6</f>
        <v>9.1578823621615291E-2</v>
      </c>
      <c r="F6" s="4">
        <f>(NVIDIA!D6-NVIDIA!E6)/NVIDIA!E6</f>
        <v>0.21464516791619587</v>
      </c>
      <c r="G6" s="4">
        <f>('Meta(Facebook)'!D6-'Meta(Facebook)'!E6)/'Meta(Facebook)'!E6</f>
        <v>8.5048936888288851E-2</v>
      </c>
      <c r="H6" s="4">
        <f>('Samsung 005930'!D6-'Samsung 005930'!E6)/'Samsung 005930'!E6</f>
        <v>0.4419642857142857</v>
      </c>
      <c r="I6" s="4">
        <f>(Tesla!D6-Tesla!E6)/Tesla!E6</f>
        <v>0.19693769799366412</v>
      </c>
      <c r="J6" s="4">
        <f>(Intel!D6-Intel!E6)/Intel!E6</f>
        <v>0.43343051506316815</v>
      </c>
      <c r="K6" s="4">
        <f>(Tencent!D6-Tencent!E6)/Tencent!E6</f>
        <v>0.1441484300666033</v>
      </c>
    </row>
    <row r="7" spans="1:11" x14ac:dyDescent="0.5">
      <c r="A7" s="3" t="str" cm="1">
        <f t="array" ref="A7">INDEX(Tencent!$A$2:$A$173,ROWS(Tencent!$A$2:$A$173)-ROW(A6)+1)</f>
        <v>11/01/2012</v>
      </c>
      <c r="B7" s="4">
        <f>(Apple!D7-Apple!E7)/Apple!E7</f>
        <v>0.12332112332112337</v>
      </c>
      <c r="C7" s="4">
        <f>(Microsoft!D7-Microsoft!E7)/Microsoft!E7</f>
        <v>0.19099272277907461</v>
      </c>
      <c r="D7" s="4">
        <f>(Google!D7-Google!E7)/Google!E7</f>
        <v>0.3330108827085852</v>
      </c>
      <c r="E7" s="4">
        <f>(Amazon!D7-Amazon!E7)/Amazon!E7</f>
        <v>0.33665202537823324</v>
      </c>
      <c r="F7" s="4">
        <f>(NVIDIA!D7-NVIDIA!E7)/NVIDIA!E7</f>
        <v>0.26521561533523946</v>
      </c>
      <c r="G7" s="4">
        <f>('Meta(Facebook)'!D7-'Meta(Facebook)'!E7)/'Meta(Facebook)'!E7</f>
        <v>0.23551902805074135</v>
      </c>
      <c r="H7" s="4">
        <f>('Samsung 005930'!D7-'Samsung 005930'!E7)/'Samsung 005930'!E7</f>
        <v>0.31428571428571428</v>
      </c>
      <c r="I7" s="4">
        <f>(Tesla!D7-Tesla!E7)/Tesla!E7</f>
        <v>0.21361641560906169</v>
      </c>
      <c r="J7" s="4">
        <f>(Intel!D7-Intel!E7)/Intel!E7</f>
        <v>1.1273899510893732</v>
      </c>
      <c r="K7" s="4">
        <f>(Tencent!D7-Tencent!E7)/Tencent!E7</f>
        <v>0.13665803108808294</v>
      </c>
    </row>
    <row r="8" spans="1:11" x14ac:dyDescent="0.5">
      <c r="A8" s="3" t="str" cm="1">
        <f t="array" ref="A8">INDEX(Tencent!$A$2:$A$173,ROWS(Tencent!$A$2:$A$173)-ROW(A7)+1)</f>
        <v>12/01/2012</v>
      </c>
      <c r="B8" s="4">
        <f>(Apple!D8-Apple!E8)/Apple!E8</f>
        <v>8.5617693780294005E-2</v>
      </c>
      <c r="C8" s="4">
        <f>(Microsoft!D8-Microsoft!E8)/Microsoft!E8</f>
        <v>0.15934096777815213</v>
      </c>
      <c r="D8" s="4">
        <f>(Google!D8-Google!E8)/Google!E8</f>
        <v>0.14832236962992912</v>
      </c>
      <c r="E8" s="4">
        <f>(Amazon!D8-Amazon!E8)/Amazon!E8</f>
        <v>0.1071105754745406</v>
      </c>
      <c r="F8" s="4">
        <f>(NVIDIA!D8-NVIDIA!E8)/NVIDIA!E8</f>
        <v>0.14981433006635408</v>
      </c>
      <c r="G8" s="4">
        <f>('Meta(Facebook)'!D8-'Meta(Facebook)'!E8)/'Meta(Facebook)'!E8</f>
        <v>0.29314189059316492</v>
      </c>
      <c r="H8" s="4">
        <f>('Samsung 005930'!D8-'Samsung 005930'!E8)/'Samsung 005930'!E8</f>
        <v>0.27245508982035926</v>
      </c>
      <c r="I8" s="4">
        <f>(Tesla!D8-Tesla!E8)/Tesla!E8</f>
        <v>0.1824274436303743</v>
      </c>
      <c r="J8" s="4">
        <f>(Intel!D8-Intel!E8)/Intel!E8</f>
        <v>0.21018951513659853</v>
      </c>
      <c r="K8" s="4">
        <f>(Tencent!D8-Tencent!E8)/Tencent!E8</f>
        <v>0.21428571428571427</v>
      </c>
    </row>
    <row r="9" spans="1:11" x14ac:dyDescent="0.5">
      <c r="A9" s="3" t="str" cm="1">
        <f t="array" ref="A9">INDEX(Tencent!$A$2:$A$173,ROWS(Tencent!$A$2:$A$173)-ROW(A8)+1)</f>
        <v>01/01/2013</v>
      </c>
      <c r="B9" s="4">
        <f>(Apple!D9-Apple!E9)/Apple!E9</f>
        <v>9.9628107261695006E-2</v>
      </c>
      <c r="C9" s="4">
        <f>(Microsoft!D9-Microsoft!E9)/Microsoft!E9</f>
        <v>0.12844829844646469</v>
      </c>
      <c r="D9" s="4">
        <f>(Google!D9-Google!E9)/Google!E9</f>
        <v>0.1780590717299578</v>
      </c>
      <c r="E9" s="4">
        <f>(Amazon!D9-Amazon!E9)/Amazon!E9</f>
        <v>0.25688775510204076</v>
      </c>
      <c r="F9" s="4">
        <f>(NVIDIA!D9-NVIDIA!E9)/NVIDIA!E9</f>
        <v>0.15552826989417057</v>
      </c>
      <c r="G9" s="4">
        <f>('Meta(Facebook)'!D9-'Meta(Facebook)'!E9)/'Meta(Facebook)'!E9</f>
        <v>0.14829260526944199</v>
      </c>
      <c r="H9" s="4">
        <f>('Samsung 005930'!D9-'Samsung 005930'!E9)/'Samsung 005930'!E9</f>
        <v>0.48271276595744683</v>
      </c>
      <c r="I9" s="4">
        <f>(Tesla!D9-Tesla!E9)/Tesla!E9</f>
        <v>0.12597734368952096</v>
      </c>
      <c r="J9" s="4">
        <f>(Intel!D9-Intel!E9)/Intel!E9</f>
        <v>0.20079291044776118</v>
      </c>
      <c r="K9" s="4">
        <f>(Tencent!D9-Tencent!E9)/Tencent!E9</f>
        <v>0.18413320274240941</v>
      </c>
    </row>
    <row r="10" spans="1:11" x14ac:dyDescent="0.5">
      <c r="A10" s="3" t="str" cm="1">
        <f t="array" ref="A10">INDEX(Tencent!$A$2:$A$173,ROWS(Tencent!$A$2:$A$173)-ROW(A9)+1)</f>
        <v>02/01/2013</v>
      </c>
      <c r="B10" s="4">
        <f>(Apple!D10-Apple!E10)/Apple!E10</f>
        <v>0.14140169254785961</v>
      </c>
      <c r="C10" s="4">
        <f>(Microsoft!D10-Microsoft!E10)/Microsoft!E10</f>
        <v>0.16312764239228542</v>
      </c>
      <c r="D10" s="4">
        <f>(Google!D10-Google!E10)/Google!E10</f>
        <v>0.10298714271904115</v>
      </c>
      <c r="E10" s="4">
        <f>(Amazon!D10-Amazon!E10)/Amazon!E10</f>
        <v>0.10787716955941259</v>
      </c>
      <c r="F10" s="4">
        <f>(NVIDIA!D10-NVIDIA!E10)/NVIDIA!E10</f>
        <v>9.5039693710939663E-2</v>
      </c>
      <c r="G10" s="4">
        <f>('Meta(Facebook)'!D10-'Meta(Facebook)'!E10)/'Meta(Facebook)'!E10</f>
        <v>0.24</v>
      </c>
      <c r="H10" s="4">
        <f>('Samsung 005930'!D10-'Samsung 005930'!E10)/'Samsung 005930'!E10</f>
        <v>0.3860232945091514</v>
      </c>
      <c r="I10" s="4">
        <f>(Tesla!D10-Tesla!E10)/Tesla!E10</f>
        <v>0.10544595050889964</v>
      </c>
      <c r="J10" s="4">
        <f>(Intel!D10-Intel!E10)/Intel!E10</f>
        <v>0.44597457627118653</v>
      </c>
      <c r="K10" s="4">
        <f>(Tencent!D10-Tencent!E10)/Tencent!E10</f>
        <v>7.575757575757576E-2</v>
      </c>
    </row>
    <row r="11" spans="1:11" x14ac:dyDescent="0.5">
      <c r="A11" s="3" t="str" cm="1">
        <f t="array" ref="A11">INDEX(Tencent!$A$2:$A$173,ROWS(Tencent!$A$2:$A$173)-ROW(A10)+1)</f>
        <v>03/01/2013</v>
      </c>
      <c r="B11" s="4">
        <f>(Apple!D11-Apple!E11)/Apple!E11</f>
        <v>8.1176250234126307E-2</v>
      </c>
      <c r="C11" s="4">
        <f>(Microsoft!D11-Microsoft!E11)/Microsoft!E11</f>
        <v>4.8037716615698278E-2</v>
      </c>
      <c r="D11" s="4">
        <f>(Google!D11-Google!E11)/Google!E11</f>
        <v>9.1314332027556469E-2</v>
      </c>
      <c r="E11" s="4">
        <f>(Amazon!D11-Amazon!E11)/Amazon!E11</f>
        <v>8.1361147563238104E-2</v>
      </c>
      <c r="F11" s="4">
        <f>(NVIDIA!D11-NVIDIA!E11)/NVIDIA!E11</f>
        <v>0.13140743350361103</v>
      </c>
      <c r="G11" s="4">
        <f>('Meta(Facebook)'!D11-'Meta(Facebook)'!E11)/'Meta(Facebook)'!E11</f>
        <v>0.11520665045878763</v>
      </c>
      <c r="H11" s="4">
        <f>('Samsung 005930'!D11-'Samsung 005930'!E11)/'Samsung 005930'!E11</f>
        <v>0.21321321321321321</v>
      </c>
      <c r="I11" s="4">
        <f>(Tesla!D11-Tesla!E11)/Tesla!E11</f>
        <v>0.18172557566568742</v>
      </c>
      <c r="J11" s="4">
        <f>(Intel!D11-Intel!E11)/Intel!E11</f>
        <v>0.25951359084406295</v>
      </c>
      <c r="K11" s="4">
        <f>(Tencent!D11-Tencent!E11)/Tencent!E11</f>
        <v>5.7432432432432436E-2</v>
      </c>
    </row>
    <row r="12" spans="1:11" x14ac:dyDescent="0.5">
      <c r="A12" s="3" t="str" cm="1">
        <f t="array" ref="A12">INDEX(Tencent!$A$2:$A$173,ROWS(Tencent!$A$2:$A$173)-ROW(A11)+1)</f>
        <v>04/01/2013</v>
      </c>
      <c r="B12" s="4">
        <f>(Apple!D12-Apple!E12)/Apple!E12</f>
        <v>5.6761646313885132E-2</v>
      </c>
      <c r="C12" s="4">
        <f>(Microsoft!D12-Microsoft!E12)/Microsoft!E12</f>
        <v>0.12921336230075944</v>
      </c>
      <c r="D12" s="4">
        <f>(Google!D12-Google!E12)/Google!E12</f>
        <v>0.21473956409309197</v>
      </c>
      <c r="E12" s="4">
        <f>(Amazon!D12-Amazon!E12)/Amazon!E12</f>
        <v>0.20178455246770152</v>
      </c>
      <c r="F12" s="4">
        <f>(NVIDIA!D12-NVIDIA!E12)/NVIDIA!E12</f>
        <v>0.24647596579180175</v>
      </c>
      <c r="G12" s="4">
        <f>('Meta(Facebook)'!D12-'Meta(Facebook)'!E12)/'Meta(Facebook)'!E12</f>
        <v>0.134331182795699</v>
      </c>
      <c r="H12" s="4">
        <f>('Samsung 005930'!D12-'Samsung 005930'!E12)/'Samsung 005930'!E12</f>
        <v>0.18941798941798943</v>
      </c>
      <c r="I12" s="4">
        <f>(Tesla!D12-Tesla!E12)/Tesla!E12</f>
        <v>0.23849208422592619</v>
      </c>
      <c r="J12" s="4">
        <f>(Intel!D12-Intel!E12)/Intel!E12</f>
        <v>0.23411371237458203</v>
      </c>
      <c r="K12" s="4">
        <f>(Tencent!D12-Tencent!E12)/Tencent!E12</f>
        <v>9.2409240924092403E-2</v>
      </c>
    </row>
    <row r="13" spans="1:11" x14ac:dyDescent="0.5">
      <c r="A13" s="3" t="str" cm="1">
        <f t="array" ref="A13">INDEX(Tencent!$A$2:$A$173,ROWS(Tencent!$A$2:$A$173)-ROW(A12)+1)</f>
        <v>05/01/2013</v>
      </c>
      <c r="B13" s="4">
        <f>(Apple!D13-Apple!E13)/Apple!E13</f>
        <v>0.13655737704918031</v>
      </c>
      <c r="C13" s="4">
        <f>(Microsoft!D13-Microsoft!E13)/Microsoft!E13</f>
        <v>9.4308300395256978E-2</v>
      </c>
      <c r="D13" s="4">
        <f>(Google!D13-Google!E13)/Google!E13</f>
        <v>0.23638907734056974</v>
      </c>
      <c r="E13" s="4">
        <f>(Amazon!D13-Amazon!E13)/Amazon!E13</f>
        <v>0.18703501871771785</v>
      </c>
      <c r="F13" s="4">
        <f>(NVIDIA!D13-NVIDIA!E13)/NVIDIA!E13</f>
        <v>0.20044127630685679</v>
      </c>
      <c r="G13" s="4">
        <f>('Meta(Facebook)'!D13-'Meta(Facebook)'!E13)/'Meta(Facebook)'!E13</f>
        <v>0.17595303375311727</v>
      </c>
      <c r="H13" s="4">
        <f>('Samsung 005930'!D13-'Samsung 005930'!E13)/'Samsung 005930'!E13</f>
        <v>0.28217237308146398</v>
      </c>
      <c r="I13" s="4">
        <f>(Tesla!D13-Tesla!E13)/Tesla!E13</f>
        <v>0.14412443796330054</v>
      </c>
      <c r="J13" s="4">
        <f>(Intel!D13-Intel!E13)/Intel!E13</f>
        <v>0.26805970149253722</v>
      </c>
      <c r="K13" s="4">
        <f>(Tencent!D13-Tencent!E13)/Tencent!E13</f>
        <v>0.13360995850622406</v>
      </c>
    </row>
    <row r="14" spans="1:11" x14ac:dyDescent="0.5">
      <c r="A14" s="3" t="str" cm="1">
        <f t="array" ref="A14">INDEX(Tencent!$A$2:$A$173,ROWS(Tencent!$A$2:$A$173)-ROW(A13)+1)</f>
        <v>06/01/2013</v>
      </c>
      <c r="B14" s="4">
        <f>(Apple!D14-Apple!E14)/Apple!E14</f>
        <v>0.14007523788448786</v>
      </c>
      <c r="C14" s="4">
        <f>(Microsoft!D14-Microsoft!E14)/Microsoft!E14</f>
        <v>5.4694640209598369E-2</v>
      </c>
      <c r="D14" s="4">
        <f>(Google!D14-Google!E14)/Google!E14</f>
        <v>0.24151309408341423</v>
      </c>
      <c r="E14" s="4">
        <f>(Amazon!D14-Amazon!E14)/Amazon!E14</f>
        <v>0.10338615050584375</v>
      </c>
      <c r="F14" s="4">
        <f>(NVIDIA!D14-NVIDIA!E14)/NVIDIA!E14</f>
        <v>0.14189065642713478</v>
      </c>
      <c r="G14" s="4">
        <f>('Meta(Facebook)'!D14-'Meta(Facebook)'!E14)/'Meta(Facebook)'!E14</f>
        <v>9.5700608260706824E-2</v>
      </c>
      <c r="H14" s="4">
        <f>('Samsung 005930'!D14-'Samsung 005930'!E14)/'Samsung 005930'!E14</f>
        <v>0.27703703703703703</v>
      </c>
      <c r="I14" s="4">
        <f>(Tesla!D14-Tesla!E14)/Tesla!E14</f>
        <v>0.38507371007371005</v>
      </c>
      <c r="J14" s="4">
        <f>(Intel!D14-Intel!E14)/Intel!E14</f>
        <v>0.53293918918918903</v>
      </c>
      <c r="K14" s="4">
        <f>(Tencent!D14-Tencent!E14)/Tencent!E14</f>
        <v>0.12774957698815567</v>
      </c>
    </row>
    <row r="15" spans="1:11" x14ac:dyDescent="0.5">
      <c r="A15" s="3" t="str" cm="1">
        <f t="array" ref="A15">INDEX(Tencent!$A$2:$A$173,ROWS(Tencent!$A$2:$A$173)-ROW(A14)+1)</f>
        <v>07/01/2013</v>
      </c>
      <c r="B15" s="4">
        <f>(Apple!D15-Apple!E15)/Apple!E15</f>
        <v>0.16684863523573204</v>
      </c>
      <c r="C15" s="4">
        <f>(Microsoft!D15-Microsoft!E15)/Microsoft!E15</f>
        <v>7.9717558323804963E-2</v>
      </c>
      <c r="D15" s="4">
        <f>(Google!D15-Google!E15)/Google!E15</f>
        <v>0.14284953679054421</v>
      </c>
      <c r="E15" s="4">
        <f>(Amazon!D15-Amazon!E15)/Amazon!E15</f>
        <v>0.10718002081165465</v>
      </c>
      <c r="F15" s="4">
        <f>(NVIDIA!D15-NVIDIA!E15)/NVIDIA!E15</f>
        <v>9.289099526066337E-2</v>
      </c>
      <c r="G15" s="4">
        <f>('Meta(Facebook)'!D15-'Meta(Facebook)'!E15)/'Meta(Facebook)'!E15</f>
        <v>8.9261285909712718E-2</v>
      </c>
      <c r="H15" s="4">
        <f>('Samsung 005930'!D15-'Samsung 005930'!E15)/'Samsung 005930'!E15</f>
        <v>6.0029282576866766E-2</v>
      </c>
      <c r="I15" s="4">
        <f>(Tesla!D15-Tesla!E15)/Tesla!E15</f>
        <v>0.1933046806796051</v>
      </c>
      <c r="J15" s="4">
        <f>(Intel!D15-Intel!E15)/Intel!E15</f>
        <v>0.39852398523985255</v>
      </c>
      <c r="K15" s="4">
        <f>(Tencent!D15-Tencent!E15)/Tencent!E15</f>
        <v>0.16510318949343339</v>
      </c>
    </row>
    <row r="16" spans="1:11" x14ac:dyDescent="0.5">
      <c r="A16" s="3" t="str" cm="1">
        <f t="array" ref="A16">INDEX(Tencent!$A$2:$A$173,ROWS(Tencent!$A$2:$A$173)-ROW(A15)+1)</f>
        <v>08/01/2013</v>
      </c>
      <c r="B16" s="4">
        <f>(Apple!D16-Apple!E16)/Apple!E16</f>
        <v>4.894731735713595E-2</v>
      </c>
      <c r="C16" s="4">
        <f>(Microsoft!D16-Microsoft!E16)/Microsoft!E16</f>
        <v>0.13658686310620025</v>
      </c>
      <c r="D16" s="4">
        <f>(Google!D16-Google!E16)/Google!E16</f>
        <v>0.14574289517856095</v>
      </c>
      <c r="E16" s="4">
        <f>(Amazon!D16-Amazon!E16)/Amazon!E16</f>
        <v>8.5348506401137947E-2</v>
      </c>
      <c r="F16" s="4">
        <f>(NVIDIA!D16-NVIDIA!E16)/NVIDIA!E16</f>
        <v>0.2099808568222325</v>
      </c>
      <c r="G16" s="4">
        <f>('Meta(Facebook)'!D16-'Meta(Facebook)'!E16)/'Meta(Facebook)'!E16</f>
        <v>0.13534432870370364</v>
      </c>
      <c r="H16" s="4">
        <f>('Samsung 005930'!D16-'Samsung 005930'!E16)/'Samsung 005930'!E16</f>
        <v>0.23745819397993312</v>
      </c>
      <c r="I16" s="4">
        <f>(Tesla!D16-Tesla!E16)/Tesla!E16</f>
        <v>0.1704816982373516</v>
      </c>
      <c r="J16" s="4">
        <f>(Intel!D16-Intel!E16)/Intel!E16</f>
        <v>0.22278738555442518</v>
      </c>
      <c r="K16" s="4">
        <f>(Tencent!D16-Tencent!E16)/Tencent!E16</f>
        <v>0.13590263691683571</v>
      </c>
    </row>
    <row r="17" spans="1:11" x14ac:dyDescent="0.5">
      <c r="A17" s="3" t="str" cm="1">
        <f t="array" ref="A17">INDEX(Tencent!$A$2:$A$173,ROWS(Tencent!$A$2:$A$173)-ROW(A16)+1)</f>
        <v>09/01/2013</v>
      </c>
      <c r="B17" s="4">
        <f>(Apple!D17-Apple!E17)/Apple!E17</f>
        <v>6.3156815502127414E-2</v>
      </c>
      <c r="C17" s="4">
        <f>(Microsoft!D17-Microsoft!E17)/Microsoft!E17</f>
        <v>9.6018735362997668E-2</v>
      </c>
      <c r="D17" s="4">
        <f>(Google!D17-Google!E17)/Google!E17</f>
        <v>0.11870370370370364</v>
      </c>
      <c r="E17" s="4">
        <f>(Amazon!D17-Amazon!E17)/Amazon!E17</f>
        <v>0.10430234852970192</v>
      </c>
      <c r="F17" s="4">
        <f>(NVIDIA!D17-NVIDIA!E17)/NVIDIA!E17</f>
        <v>0.1721565731166913</v>
      </c>
      <c r="G17" s="4">
        <f>('Meta(Facebook)'!D17-'Meta(Facebook)'!E17)/'Meta(Facebook)'!E17</f>
        <v>0.16086673082295966</v>
      </c>
      <c r="H17" s="4">
        <f>('Samsung 005930'!D17-'Samsung 005930'!E17)/'Samsung 005930'!E17</f>
        <v>9.6085409252669035E-2</v>
      </c>
      <c r="I17" s="4">
        <f>(Tesla!D17-Tesla!E17)/Tesla!E17</f>
        <v>0.30866366531239725</v>
      </c>
      <c r="J17" s="4">
        <f>(Intel!D17-Intel!E17)/Intel!E17</f>
        <v>0.20702116675271026</v>
      </c>
      <c r="K17" s="4">
        <f>(Tencent!D17-Tencent!E17)/Tencent!E17</f>
        <v>6.4133986928104528E-2</v>
      </c>
    </row>
    <row r="18" spans="1:11" x14ac:dyDescent="0.5">
      <c r="A18" s="3" t="str" cm="1">
        <f t="array" ref="A18">INDEX(Tencent!$A$2:$A$173,ROWS(Tencent!$A$2:$A$173)-ROW(A17)+1)</f>
        <v>10/01/2013</v>
      </c>
      <c r="B18" s="4">
        <f>(Apple!D18-Apple!E18)/Apple!E18</f>
        <v>0.11027166882276844</v>
      </c>
      <c r="C18" s="4">
        <f>(Microsoft!D18-Microsoft!E18)/Microsoft!E18</f>
        <v>8.8538479642268783E-2</v>
      </c>
      <c r="D18" s="4">
        <f>(Google!D18-Google!E18)/Google!E18</f>
        <v>0.19568452380952386</v>
      </c>
      <c r="E18" s="4">
        <f>(Amazon!D18-Amazon!E18)/Amazon!E18</f>
        <v>0.16856132716888775</v>
      </c>
      <c r="F18" s="4">
        <f>(NVIDIA!D18-NVIDIA!E18)/NVIDIA!E18</f>
        <v>0.29480238224147282</v>
      </c>
      <c r="G18" s="4">
        <f>('Meta(Facebook)'!D18-'Meta(Facebook)'!E18)/'Meta(Facebook)'!E18</f>
        <v>0.1615600350569675</v>
      </c>
      <c r="H18" s="4">
        <f>('Samsung 005930'!D18-'Samsung 005930'!E18)/'Samsung 005930'!E18</f>
        <v>9.1247672253258846E-2</v>
      </c>
      <c r="I18" s="4">
        <f>(Tesla!D18-Tesla!E18)/Tesla!E18</f>
        <v>0.35686346863468627</v>
      </c>
      <c r="J18" s="4">
        <f>(Intel!D18-Intel!E18)/Intel!E18</f>
        <v>0.18487830139823927</v>
      </c>
      <c r="K18" s="4">
        <f>(Tencent!D18-Tencent!E18)/Tencent!E18</f>
        <v>0.11436950146627571</v>
      </c>
    </row>
    <row r="19" spans="1:11" x14ac:dyDescent="0.5">
      <c r="A19" s="3" t="str" cm="1">
        <f t="array" ref="A19">INDEX(Tencent!$A$2:$A$173,ROWS(Tencent!$A$2:$A$173)-ROW(A18)+1)</f>
        <v>11/01/2013</v>
      </c>
      <c r="B19" s="4">
        <f>(Apple!D19-Apple!E19)/Apple!E19</f>
        <v>0.33083151114000348</v>
      </c>
      <c r="C19" s="4">
        <f>(Microsoft!D19-Microsoft!E19)/Microsoft!E19</f>
        <v>0.1504393978943705</v>
      </c>
      <c r="D19" s="4">
        <f>(Google!D19-Google!E19)/Google!E19</f>
        <v>0.18195403116772216</v>
      </c>
      <c r="E19" s="4">
        <f>(Amazon!D19-Amazon!E19)/Amazon!E19</f>
        <v>0.22902466228776805</v>
      </c>
      <c r="F19" s="4">
        <f>(NVIDIA!D19-NVIDIA!E19)/NVIDIA!E19</f>
        <v>0.32879242669129516</v>
      </c>
      <c r="G19" s="4">
        <f>('Meta(Facebook)'!D19-'Meta(Facebook)'!E19)/'Meta(Facebook)'!E19</f>
        <v>0.23522300958732795</v>
      </c>
      <c r="H19" s="4">
        <f>('Samsung 005930'!D19-'Samsung 005930'!E19)/'Samsung 005930'!E19</f>
        <v>0.12665406427221171</v>
      </c>
      <c r="I19" s="4">
        <f>(Tesla!D19-Tesla!E19)/Tesla!E19</f>
        <v>0.37624270711785301</v>
      </c>
      <c r="J19" s="4">
        <f>(Intel!D19-Intel!E19)/Intel!E19</f>
        <v>0.35257498585172586</v>
      </c>
      <c r="K19" s="4">
        <f>(Tencent!D19-Tencent!E19)/Tencent!E19</f>
        <v>0.220763723150358</v>
      </c>
    </row>
    <row r="20" spans="1:11" x14ac:dyDescent="0.5">
      <c r="A20" s="3" t="str" cm="1">
        <f t="array" ref="A20">INDEX(Tencent!$A$2:$A$173,ROWS(Tencent!$A$2:$A$173)-ROW(A19)+1)</f>
        <v>12/01/2013</v>
      </c>
      <c r="B20" s="4">
        <f>(Apple!D20-Apple!E20)/Apple!E20</f>
        <v>0.17085692351981582</v>
      </c>
      <c r="C20" s="4">
        <f>(Microsoft!D20-Microsoft!E20)/Microsoft!E20</f>
        <v>9.5060450931271009E-2</v>
      </c>
      <c r="D20" s="4">
        <f>(Google!D20-Google!E20)/Google!E20</f>
        <v>0.16135669719899112</v>
      </c>
      <c r="E20" s="4">
        <f>(Amazon!D20-Amazon!E20)/Amazon!E20</f>
        <v>0.16057483731019515</v>
      </c>
      <c r="F20" s="4">
        <f>(NVIDIA!D20-NVIDIA!E20)/NVIDIA!E20</f>
        <v>0.1934394597202122</v>
      </c>
      <c r="G20" s="4">
        <f>('Meta(Facebook)'!D20-'Meta(Facebook)'!E20)/'Meta(Facebook)'!E20</f>
        <v>0.23124887041388045</v>
      </c>
      <c r="H20" s="4">
        <f>('Samsung 005930'!D20-'Samsung 005930'!E20)/'Samsung 005930'!E20</f>
        <v>0.18095238095238095</v>
      </c>
      <c r="I20" s="4">
        <f>(Tesla!D20-Tesla!E20)/Tesla!E20</f>
        <v>0.40051608146714579</v>
      </c>
      <c r="J20" s="4">
        <f>(Intel!D20-Intel!E20)/Intel!E20</f>
        <v>0.36910316226023854</v>
      </c>
      <c r="K20" s="4">
        <f>(Tencent!D20-Tencent!E20)/Tencent!E20</f>
        <v>0.15595942519019446</v>
      </c>
    </row>
    <row r="21" spans="1:11" x14ac:dyDescent="0.5">
      <c r="A21" s="3" t="str" cm="1">
        <f t="array" ref="A21">INDEX(Tencent!$A$2:$A$173,ROWS(Tencent!$A$2:$A$173)-ROW(A20)+1)</f>
        <v>01/01/2014</v>
      </c>
      <c r="B21" s="4">
        <f>(Apple!D21-Apple!E21)/Apple!E21</f>
        <v>0.10766504209127166</v>
      </c>
      <c r="C21" s="4">
        <f>(Microsoft!D21-Microsoft!E21)/Microsoft!E21</f>
        <v>8.4693587189900943E-2</v>
      </c>
      <c r="D21" s="4">
        <f>(Google!D21-Google!E21)/Google!E21</f>
        <v>0.24153025124422858</v>
      </c>
      <c r="E21" s="4">
        <f>(Amazon!D21-Amazon!E21)/Amazon!E21</f>
        <v>0.18789184952978064</v>
      </c>
      <c r="F21" s="4">
        <f>(NVIDIA!D21-NVIDIA!E21)/NVIDIA!E21</f>
        <v>0.26926820635341997</v>
      </c>
      <c r="G21" s="4">
        <f>('Meta(Facebook)'!D21-'Meta(Facebook)'!E21)/'Meta(Facebook)'!E21</f>
        <v>0.15431714080952225</v>
      </c>
      <c r="H21" s="4">
        <f>('Samsung 005930'!D21-'Samsung 005930'!E21)/'Samsung 005930'!E21</f>
        <v>0.16338582677165353</v>
      </c>
      <c r="I21" s="4">
        <f>(Tesla!D21-Tesla!E21)/Tesla!E21</f>
        <v>0.44005847953216365</v>
      </c>
      <c r="J21" s="4">
        <f>(Intel!D21-Intel!E21)/Intel!E21</f>
        <v>0.46698615548455796</v>
      </c>
      <c r="K21" s="4">
        <f>(Tencent!D21-Tencent!E21)/Tencent!E21</f>
        <v>0.32420091324200917</v>
      </c>
    </row>
    <row r="22" spans="1:11" x14ac:dyDescent="0.5">
      <c r="A22" s="3" t="str" cm="1">
        <f t="array" ref="A22">INDEX(Tencent!$A$2:$A$173,ROWS(Tencent!$A$2:$A$173)-ROW(A21)+1)</f>
        <v>02/01/2014</v>
      </c>
      <c r="B22" s="4">
        <f>(Apple!D22-Apple!E22)/Apple!E22</f>
        <v>0.13547269577901358</v>
      </c>
      <c r="C22" s="4">
        <f>(Microsoft!D22-Microsoft!E22)/Microsoft!E22</f>
        <v>9.1692637319828504E-2</v>
      </c>
      <c r="D22" s="4">
        <f>(Google!D22-Google!E22)/Google!E22</f>
        <v>9.6712211784799176E-2</v>
      </c>
      <c r="E22" s="4">
        <f>(Amazon!D22-Amazon!E22)/Amazon!E22</f>
        <v>0.11827012025901953</v>
      </c>
      <c r="F22" s="4">
        <f>(NVIDIA!D22-NVIDIA!E22)/NVIDIA!E22</f>
        <v>0.31724731182795696</v>
      </c>
      <c r="G22" s="4">
        <f>('Meta(Facebook)'!D22-'Meta(Facebook)'!E22)/'Meta(Facebook)'!E22</f>
        <v>0.20919669286516265</v>
      </c>
      <c r="H22" s="4">
        <f>('Samsung 005930'!D22-'Samsung 005930'!E22)/'Samsung 005930'!E22</f>
        <v>0.11605415860735009</v>
      </c>
      <c r="I22" s="4">
        <f>(Tesla!D22-Tesla!E22)/Tesla!E22</f>
        <v>0.1788012009435985</v>
      </c>
      <c r="J22" s="4">
        <f>(Intel!D22-Intel!E22)/Intel!E22</f>
        <v>0.19647624132407901</v>
      </c>
      <c r="K22" s="4">
        <f>(Tencent!D22-Tencent!E22)/Tencent!E22</f>
        <v>0.16502192982456138</v>
      </c>
    </row>
    <row r="23" spans="1:11" x14ac:dyDescent="0.5">
      <c r="A23" s="3" t="str" cm="1">
        <f t="array" ref="A23">INDEX(Tencent!$A$2:$A$173,ROWS(Tencent!$A$2:$A$173)-ROW(A22)+1)</f>
        <v>03/01/2014</v>
      </c>
      <c r="B23" s="4">
        <f>(Apple!D23-Apple!E23)/Apple!E23</f>
        <v>9.6727947377298132E-2</v>
      </c>
      <c r="C23" s="4">
        <f>(Microsoft!D23-Microsoft!E23)/Microsoft!E23</f>
        <v>8.4391194789140866E-2</v>
      </c>
      <c r="D23" s="4">
        <f>(Google!D23-Google!E23)/Google!E23</f>
        <v>0.19487453283502401</v>
      </c>
      <c r="E23" s="4">
        <f>(Amazon!D23-Amazon!E23)/Amazon!E23</f>
        <v>0.11211875328146632</v>
      </c>
      <c r="F23" s="4">
        <f>(NVIDIA!D23-NVIDIA!E23)/NVIDIA!E23</f>
        <v>0.15513164117925266</v>
      </c>
      <c r="G23" s="4">
        <f>('Meta(Facebook)'!D23-'Meta(Facebook)'!E23)/'Meta(Facebook)'!E23</f>
        <v>0.10916135309345505</v>
      </c>
      <c r="H23" s="4">
        <f>('Samsung 005930'!D23-'Samsung 005930'!E23)/'Samsung 005930'!E23</f>
        <v>9.05587668593449E-2</v>
      </c>
      <c r="I23" s="4">
        <f>(Tesla!D23-Tesla!E23)/Tesla!E23</f>
        <v>0.40304422745548546</v>
      </c>
      <c r="J23" s="4">
        <f>(Intel!D23-Intel!E23)/Intel!E23</f>
        <v>0.34814814814814826</v>
      </c>
      <c r="K23" s="4">
        <f>(Tencent!D23-Tencent!E23)/Tencent!E23</f>
        <v>9.2799188640973695E-2</v>
      </c>
    </row>
    <row r="24" spans="1:11" x14ac:dyDescent="0.5">
      <c r="A24" s="3" t="str" cm="1">
        <f t="array" ref="A24">INDEX(Tencent!$A$2:$A$173,ROWS(Tencent!$A$2:$A$173)-ROW(A23)+1)</f>
        <v>04/01/2014</v>
      </c>
      <c r="B24" s="4">
        <f>(Apple!D24-Apple!E24)/Apple!E24</f>
        <v>8.2381320832005792E-2</v>
      </c>
      <c r="C24" s="4">
        <f>(Microsoft!D24-Microsoft!E24)/Microsoft!E24</f>
        <v>5.8584214808787609E-2</v>
      </c>
      <c r="D24" s="4">
        <f>(Google!D24-Google!E24)/Google!E24</f>
        <v>0.11478313989004289</v>
      </c>
      <c r="E24" s="4">
        <f>(Amazon!D24-Amazon!E24)/Amazon!E24</f>
        <v>0.11111111111111113</v>
      </c>
      <c r="F24" s="4">
        <f>(NVIDIA!D24-NVIDIA!E24)/NVIDIA!E24</f>
        <v>0.16001517450682831</v>
      </c>
      <c r="G24" s="4">
        <f>('Meta(Facebook)'!D24-'Meta(Facebook)'!E24)/'Meta(Facebook)'!E24</f>
        <v>9.217739732264825E-2</v>
      </c>
      <c r="H24" s="4">
        <f>('Samsung 005930'!D24-'Samsung 005930'!E24)/'Samsung 005930'!E24</f>
        <v>0.19438877755511022</v>
      </c>
      <c r="I24" s="4">
        <f>(Tesla!D24-Tesla!E24)/Tesla!E24</f>
        <v>0.5151121902210315</v>
      </c>
      <c r="J24" s="4">
        <f>(Intel!D24-Intel!E24)/Intel!E24</f>
        <v>0.20629849383842991</v>
      </c>
      <c r="K24" s="4">
        <f>(Tencent!D24-Tencent!E24)/Tencent!E24</f>
        <v>0.11224489795918367</v>
      </c>
    </row>
    <row r="25" spans="1:11" x14ac:dyDescent="0.5">
      <c r="A25" s="3" t="str" cm="1">
        <f t="array" ref="A25">INDEX(Tencent!$A$2:$A$173,ROWS(Tencent!$A$2:$A$173)-ROW(A24)+1)</f>
        <v>05/01/2014</v>
      </c>
      <c r="B25" s="4">
        <f>(Apple!D25-Apple!E25)/Apple!E25</f>
        <v>7.3013147788370286E-2</v>
      </c>
      <c r="C25" s="4">
        <f>(Microsoft!D25-Microsoft!E25)/Microsoft!E25</f>
        <v>7.9251784395766647E-2</v>
      </c>
      <c r="D25" s="4">
        <f>(Google!D25-Google!E25)/Google!E25</f>
        <v>0.13947664955552774</v>
      </c>
      <c r="E25" s="4">
        <f>(Amazon!D25-Amazon!E25)/Amazon!E25</f>
        <v>8.5214979195561799E-2</v>
      </c>
      <c r="F25" s="4">
        <f>(NVIDIA!D25-NVIDIA!E25)/NVIDIA!E25</f>
        <v>0.2542991141219384</v>
      </c>
      <c r="G25" s="4">
        <f>('Meta(Facebook)'!D25-'Meta(Facebook)'!E25)/'Meta(Facebook)'!E25</f>
        <v>7.3781877760364836E-2</v>
      </c>
      <c r="H25" s="4">
        <f>('Samsung 005930'!D25-'Samsung 005930'!E25)/'Samsung 005930'!E25</f>
        <v>0.11131059245960502</v>
      </c>
      <c r="I25" s="4">
        <f>(Tesla!D25-Tesla!E25)/Tesla!E25</f>
        <v>0.28961387959077839</v>
      </c>
      <c r="J25" s="4">
        <f>(Intel!D25-Intel!E25)/Intel!E25</f>
        <v>0.10945505356311139</v>
      </c>
      <c r="K25" s="4">
        <f>(Tencent!D25-Tencent!E25)/Tencent!E25</f>
        <v>0.19228868017795342</v>
      </c>
    </row>
    <row r="26" spans="1:11" x14ac:dyDescent="0.5">
      <c r="A26" s="3" t="str" cm="1">
        <f t="array" ref="A26">INDEX(Tencent!$A$2:$A$173,ROWS(Tencent!$A$2:$A$173)-ROW(A25)+1)</f>
        <v>06/01/2014</v>
      </c>
      <c r="B26" s="4">
        <f>(Apple!D26-Apple!E26)/Apple!E26</f>
        <v>8.961293941660442E-2</v>
      </c>
      <c r="C26" s="4">
        <f>(Microsoft!D26-Microsoft!E26)/Microsoft!E26</f>
        <v>0.10242015968063875</v>
      </c>
      <c r="D26" s="4">
        <f>(Google!D26-Google!E26)/Google!E26</f>
        <v>0.12865973778955231</v>
      </c>
      <c r="E26" s="4">
        <f>(Amazon!D26-Amazon!E26)/Amazon!E26</f>
        <v>0.14144659967282081</v>
      </c>
      <c r="F26" s="4">
        <f>(NVIDIA!D26-NVIDIA!E26)/NVIDIA!E26</f>
        <v>0.26468548786527984</v>
      </c>
      <c r="G26" s="4">
        <f>('Meta(Facebook)'!D26-'Meta(Facebook)'!E26)/'Meta(Facebook)'!E26</f>
        <v>0.16505246166263104</v>
      </c>
      <c r="H26" s="4">
        <f>('Samsung 005930'!D26-'Samsung 005930'!E26)/'Samsung 005930'!E26</f>
        <v>0.21463414634146341</v>
      </c>
      <c r="I26" s="4">
        <f>(Tesla!D26-Tesla!E26)/Tesla!E26</f>
        <v>0.26340393054760558</v>
      </c>
      <c r="J26" s="4">
        <f>(Intel!D26-Intel!E26)/Intel!E26</f>
        <v>0.33225283630470004</v>
      </c>
      <c r="K26" s="4">
        <f>(Tencent!D26-Tencent!E26)/Tencent!E26</f>
        <v>0.25315068493150678</v>
      </c>
    </row>
    <row r="27" spans="1:11" x14ac:dyDescent="0.5">
      <c r="A27" s="3" t="str" cm="1">
        <f t="array" ref="A27">INDEX(Tencent!$A$2:$A$173,ROWS(Tencent!$A$2:$A$173)-ROW(A26)+1)</f>
        <v>07/01/2014</v>
      </c>
      <c r="B27" s="4">
        <f>(Apple!D27-Apple!E27)/Apple!E27</f>
        <v>0.18836734693877544</v>
      </c>
      <c r="C27" s="4">
        <f>(Microsoft!D27-Microsoft!E27)/Microsoft!E27</f>
        <v>0.10861559209502566</v>
      </c>
      <c r="D27" s="4">
        <f>(Google!D27-Google!E27)/Google!E27</f>
        <v>0.12341057251662044</v>
      </c>
      <c r="E27" s="4">
        <f>(Amazon!D27-Amazon!E27)/Amazon!E27</f>
        <v>0.25717300969593021</v>
      </c>
      <c r="F27" s="4">
        <f>(NVIDIA!D27-NVIDIA!E27)/NVIDIA!E27</f>
        <v>0.4473481089425515</v>
      </c>
      <c r="G27" s="4">
        <f>('Meta(Facebook)'!D27-'Meta(Facebook)'!E27)/'Meta(Facebook)'!E27</f>
        <v>0.20725377107364687</v>
      </c>
      <c r="H27" s="4">
        <f>('Samsung 005930'!D27-'Samsung 005930'!E27)/'Samsung 005930'!E27</f>
        <v>0.2264957264957265</v>
      </c>
      <c r="I27" s="4">
        <f>(Tesla!D27-Tesla!E27)/Tesla!E27</f>
        <v>0.27401098901098903</v>
      </c>
      <c r="J27" s="4">
        <f>(Intel!D27-Intel!E27)/Intel!E27</f>
        <v>0.63004246284501064</v>
      </c>
      <c r="K27" s="4">
        <f>(Tencent!D27-Tencent!E27)/Tencent!E27</f>
        <v>0.10487106017191984</v>
      </c>
    </row>
    <row r="28" spans="1:11" x14ac:dyDescent="0.5">
      <c r="A28" s="3" t="str" cm="1">
        <f t="array" ref="A28">INDEX(Tencent!$A$2:$A$173,ROWS(Tencent!$A$2:$A$173)-ROW(A27)+1)</f>
        <v>08/01/2014</v>
      </c>
      <c r="B28" s="4">
        <f>(Apple!D28-Apple!E28)/Apple!E28</f>
        <v>0.11943186107965272</v>
      </c>
      <c r="C28" s="4">
        <f>(Microsoft!D28-Microsoft!E28)/Microsoft!E28</f>
        <v>0.13619271730428675</v>
      </c>
      <c r="D28" s="4">
        <f>(Google!D28-Google!E28)/Google!E28</f>
        <v>0.16877971473851028</v>
      </c>
      <c r="E28" s="4">
        <f>(Amazon!D28-Amazon!E28)/Amazon!E28</f>
        <v>0.13800904977375553</v>
      </c>
      <c r="F28" s="4">
        <f>(NVIDIA!D28-NVIDIA!E28)/NVIDIA!E28</f>
        <v>0.32777452701384824</v>
      </c>
      <c r="G28" s="4">
        <f>('Meta(Facebook)'!D28-'Meta(Facebook)'!E28)/'Meta(Facebook)'!E28</f>
        <v>0.22627357957754426</v>
      </c>
      <c r="H28" s="4">
        <f>('Samsung 005930'!D28-'Samsung 005930'!E28)/'Samsung 005930'!E28</f>
        <v>0.11</v>
      </c>
      <c r="I28" s="4">
        <f>(Tesla!D28-Tesla!E28)/Tesla!E28</f>
        <v>0.34926562111028137</v>
      </c>
      <c r="J28" s="4">
        <f>(Intel!D28-Intel!E28)/Intel!E28</f>
        <v>0.23866666666666655</v>
      </c>
      <c r="K28" s="4">
        <f>(Tencent!D28-Tencent!E28)/Tencent!E28</f>
        <v>0.1316239316239316</v>
      </c>
    </row>
    <row r="29" spans="1:11" x14ac:dyDescent="0.5">
      <c r="A29" s="3" t="str" cm="1">
        <f t="array" ref="A29">INDEX(Tencent!$A$2:$A$173,ROWS(Tencent!$A$2:$A$173)-ROW(A28)+1)</f>
        <v>09/01/2014</v>
      </c>
      <c r="B29" s="4">
        <f>(Apple!D29-Apple!E29)/Apple!E29</f>
        <v>0.14597970335675245</v>
      </c>
      <c r="C29" s="4">
        <f>(Microsoft!D29-Microsoft!E29)/Microsoft!E29</f>
        <v>0.11554827350092928</v>
      </c>
      <c r="D29" s="4">
        <f>(Google!D29-Google!E29)/Google!E29</f>
        <v>8.6994624912362789E-2</v>
      </c>
      <c r="E29" s="4">
        <f>(Amazon!D29-Amazon!E29)/Amazon!E29</f>
        <v>0.13597089586175545</v>
      </c>
      <c r="F29" s="4">
        <f>(NVIDIA!D29-NVIDIA!E29)/NVIDIA!E29</f>
        <v>0.25678571428571423</v>
      </c>
      <c r="G29" s="4">
        <f>('Meta(Facebook)'!D29-'Meta(Facebook)'!E29)/'Meta(Facebook)'!E29</f>
        <v>0.11669229454980348</v>
      </c>
      <c r="H29" s="4">
        <f>('Samsung 005930'!D29-'Samsung 005930'!E29)/'Samsung 005930'!E29</f>
        <v>0.11185983827493262</v>
      </c>
      <c r="I29" s="4">
        <f>(Tesla!D29-Tesla!E29)/Tesla!E29</f>
        <v>0.21378651215578515</v>
      </c>
      <c r="J29" s="4">
        <f>(Intel!D29-Intel!E29)/Intel!E29</f>
        <v>5.1436205744822952E-2</v>
      </c>
      <c r="K29" s="4">
        <f>(Tencent!D29-Tencent!E29)/Tencent!E29</f>
        <v>6.9285324604473481E-2</v>
      </c>
    </row>
    <row r="30" spans="1:11" x14ac:dyDescent="0.5">
      <c r="A30" s="3" t="str" cm="1">
        <f t="array" ref="A30">INDEX(Tencent!$A$2:$A$173,ROWS(Tencent!$A$2:$A$173)-ROW(A29)+1)</f>
        <v>10/01/2014</v>
      </c>
      <c r="B30" s="4">
        <f>(Apple!D30-Apple!E30)/Apple!E30</f>
        <v>0.14126899651114649</v>
      </c>
      <c r="C30" s="4">
        <f>(Microsoft!D30-Microsoft!E30)/Microsoft!E30</f>
        <v>0.11091183930721739</v>
      </c>
      <c r="D30" s="4">
        <f>(Google!D30-Google!E30)/Google!E30</f>
        <v>9.6412143514259419E-2</v>
      </c>
      <c r="E30" s="4">
        <f>(Amazon!D30-Amazon!E30)/Amazon!E30</f>
        <v>0.10254788060044852</v>
      </c>
      <c r="F30" s="4">
        <f>(NVIDIA!D30-NVIDIA!E30)/NVIDIA!E30</f>
        <v>0.42547692307692297</v>
      </c>
      <c r="G30" s="4">
        <f>('Meta(Facebook)'!D30-'Meta(Facebook)'!E30)/'Meta(Facebook)'!E30</f>
        <v>0.12968556109667295</v>
      </c>
      <c r="H30" s="4">
        <f>('Samsung 005930'!D30-'Samsung 005930'!E30)/'Samsung 005930'!E30</f>
        <v>0.10884353741496598</v>
      </c>
      <c r="I30" s="4">
        <f>(Tesla!D30-Tesla!E30)/Tesla!E30</f>
        <v>0.11809239940387482</v>
      </c>
      <c r="J30" s="4">
        <f>(Intel!D30-Intel!E30)/Intel!E30</f>
        <v>9.0480995627312516E-2</v>
      </c>
      <c r="K30" s="4">
        <f>(Tencent!D30-Tencent!E30)/Tencent!E30</f>
        <v>0.1609727851766069</v>
      </c>
    </row>
    <row r="31" spans="1:11" x14ac:dyDescent="0.5">
      <c r="A31" s="3" t="str" cm="1">
        <f t="array" ref="A31">INDEX(Tencent!$A$2:$A$173,ROWS(Tencent!$A$2:$A$173)-ROW(A30)+1)</f>
        <v>11/01/2014</v>
      </c>
      <c r="B31" s="4">
        <f>(Apple!D31-Apple!E31)/Apple!E31</f>
        <v>8.709697080514428E-2</v>
      </c>
      <c r="C31" s="4">
        <f>(Microsoft!D31-Microsoft!E31)/Microsoft!E31</f>
        <v>0.10653815426642278</v>
      </c>
      <c r="D31" s="4">
        <f>(Google!D31-Google!E31)/Google!E31</f>
        <v>0.16784759358288781</v>
      </c>
      <c r="E31" s="4">
        <f>(Amazon!D31-Amazon!E31)/Amazon!E31</f>
        <v>0.14099326599326611</v>
      </c>
      <c r="F31" s="4">
        <f>(NVIDIA!D31-NVIDIA!E31)/NVIDIA!E31</f>
        <v>0.2196799365163338</v>
      </c>
      <c r="G31" s="4">
        <f>('Meta(Facebook)'!D31-'Meta(Facebook)'!E31)/'Meta(Facebook)'!E31</f>
        <v>0.28224366706875759</v>
      </c>
      <c r="H31" s="4">
        <f>('Samsung 005930'!D31-'Samsung 005930'!E31)/'Samsung 005930'!E31</f>
        <v>0.14513981358189082</v>
      </c>
      <c r="I31" s="4">
        <f>(Tesla!D31-Tesla!E31)/Tesla!E31</f>
        <v>0.43278097982708924</v>
      </c>
      <c r="J31" s="4">
        <f>(Intel!D31-Intel!E31)/Intel!E31</f>
        <v>0.4927679158448387</v>
      </c>
      <c r="K31" s="4">
        <f>(Tencent!D31-Tencent!E31)/Tencent!E31</f>
        <v>0.19140362659503021</v>
      </c>
    </row>
    <row r="32" spans="1:11" x14ac:dyDescent="0.5">
      <c r="A32" s="3" t="str" cm="1">
        <f t="array" ref="A32">INDEX(Tencent!$A$2:$A$173,ROWS(Tencent!$A$2:$A$173)-ROW(A31)+1)</f>
        <v>12/01/2014</v>
      </c>
      <c r="B32" s="4">
        <f>(Apple!D32-Apple!E32)/Apple!E32</f>
        <v>7.1458246780224291E-2</v>
      </c>
      <c r="C32" s="4">
        <f>(Microsoft!D32-Microsoft!E32)/Microsoft!E32</f>
        <v>8.1402645648736185E-2</v>
      </c>
      <c r="D32" s="4">
        <f>(Google!D32-Google!E32)/Google!E32</f>
        <v>0.16531455686514615</v>
      </c>
      <c r="E32" s="4">
        <f>(Amazon!D32-Amazon!E32)/Amazon!E32</f>
        <v>5.9660582026010323E-2</v>
      </c>
      <c r="F32" s="4">
        <f>(NVIDIA!D32-NVIDIA!E32)/NVIDIA!E32</f>
        <v>0.22608257804632437</v>
      </c>
      <c r="G32" s="4">
        <f>('Meta(Facebook)'!D32-'Meta(Facebook)'!E32)/'Meta(Facebook)'!E32</f>
        <v>9.9936974789916075E-2</v>
      </c>
      <c r="H32" s="4">
        <f>('Samsung 005930'!D32-'Samsung 005930'!E32)/'Samsung 005930'!E32</f>
        <v>0.15062761506276151</v>
      </c>
      <c r="I32" s="4">
        <f>(Tesla!D32-Tesla!E32)/Tesla!E32</f>
        <v>0.27418852407949673</v>
      </c>
      <c r="J32" s="4">
        <f>(Intel!D32-Intel!E32)/Intel!E32</f>
        <v>0.14937145674143462</v>
      </c>
      <c r="K32" s="4">
        <f>(Tencent!D32-Tencent!E32)/Tencent!E32</f>
        <v>0.16478555304740411</v>
      </c>
    </row>
    <row r="33" spans="1:11" x14ac:dyDescent="0.5">
      <c r="A33" s="3" t="str" cm="1">
        <f t="array" ref="A33">INDEX(Tencent!$A$2:$A$173,ROWS(Tencent!$A$2:$A$173)-ROW(A32)+1)</f>
        <v>01/01/2015</v>
      </c>
      <c r="B33" s="4">
        <f>(Apple!D33-Apple!E33)/Apple!E33</f>
        <v>6.5829846582984727E-2</v>
      </c>
      <c r="C33" s="4">
        <f>(Microsoft!D33-Microsoft!E33)/Microsoft!E33</f>
        <v>5.9412919792558187E-2</v>
      </c>
      <c r="D33" s="4">
        <f>(Google!D33-Google!E33)/Google!E33</f>
        <v>0.10361125470792409</v>
      </c>
      <c r="E33" s="4">
        <f>(Amazon!D33-Amazon!E33)/Amazon!E33</f>
        <v>0.13879964014908105</v>
      </c>
      <c r="F33" s="4">
        <f>(NVIDIA!D33-NVIDIA!E33)/NVIDIA!E33</f>
        <v>0.33641524736415251</v>
      </c>
      <c r="G33" s="4">
        <f>('Meta(Facebook)'!D33-'Meta(Facebook)'!E33)/'Meta(Facebook)'!E33</f>
        <v>0.25775346648009156</v>
      </c>
      <c r="H33" s="4">
        <f>('Samsung 005930'!D33-'Samsung 005930'!E33)/'Samsung 005930'!E33</f>
        <v>4.8611111111111112E-2</v>
      </c>
      <c r="I33" s="4">
        <f>(Tesla!D33-Tesla!E33)/Tesla!E33</f>
        <v>0.17479001199931435</v>
      </c>
      <c r="J33" s="4">
        <f>(Intel!D33-Intel!E33)/Intel!E33</f>
        <v>8.822115384615388E-2</v>
      </c>
      <c r="K33" s="4">
        <f>(Tencent!D33-Tencent!E33)/Tencent!E33</f>
        <v>0.10820895522388059</v>
      </c>
    </row>
    <row r="34" spans="1:11" x14ac:dyDescent="0.5">
      <c r="A34" s="3" t="str" cm="1">
        <f t="array" ref="A34">INDEX(Tencent!$A$2:$A$173,ROWS(Tencent!$A$2:$A$173)-ROW(A33)+1)</f>
        <v>02/01/2015</v>
      </c>
      <c r="B34" s="4">
        <f>(Apple!D34-Apple!E34)/Apple!E34</f>
        <v>8.997058333795864E-2</v>
      </c>
      <c r="C34" s="4">
        <f>(Microsoft!D34-Microsoft!E34)/Microsoft!E34</f>
        <v>0.13320600272851293</v>
      </c>
      <c r="D34" s="4">
        <f>(Google!D34-Google!E34)/Google!E34</f>
        <v>0.13784683684794669</v>
      </c>
      <c r="E34" s="4">
        <f>(Amazon!D34-Amazon!E34)/Amazon!E34</f>
        <v>0.12273516140229071</v>
      </c>
      <c r="F34" s="4">
        <f>(NVIDIA!D34-NVIDIA!E34)/NVIDIA!E34</f>
        <v>0.34171597633136097</v>
      </c>
      <c r="G34" s="4">
        <f>('Meta(Facebook)'!D34-'Meta(Facebook)'!E34)/'Meta(Facebook)'!E34</f>
        <v>0.1951413193729597</v>
      </c>
      <c r="H34" s="4">
        <f>('Samsung 005930'!D34-'Samsung 005930'!E34)/'Samsung 005930'!E34</f>
        <v>0.12871287128712872</v>
      </c>
      <c r="I34" s="4">
        <f>(Tesla!D34-Tesla!E34)/Tesla!E34</f>
        <v>0.39536821059646782</v>
      </c>
      <c r="J34" s="4">
        <f>(Intel!D34-Intel!E34)/Intel!E34</f>
        <v>0.18744098205854576</v>
      </c>
      <c r="K34" s="4">
        <f>(Tencent!D34-Tencent!E34)/Tencent!E34</f>
        <v>0.17217524980784019</v>
      </c>
    </row>
    <row r="35" spans="1:11" x14ac:dyDescent="0.5">
      <c r="A35" s="3" t="str" cm="1">
        <f t="array" ref="A35">INDEX(Tencent!$A$2:$A$173,ROWS(Tencent!$A$2:$A$173)-ROW(A34)+1)</f>
        <v>03/01/2015</v>
      </c>
      <c r="B35" s="4">
        <f>(Apple!D35-Apple!E35)/Apple!E35</f>
        <v>6.492397972792753E-2</v>
      </c>
      <c r="C35" s="4">
        <f>(Microsoft!D35-Microsoft!E35)/Microsoft!E35</f>
        <v>4.2050151556902865E-2</v>
      </c>
      <c r="D35" s="4">
        <f>(Google!D35-Google!E35)/Google!E35</f>
        <v>0.11555903049257232</v>
      </c>
      <c r="E35" s="4">
        <f>(Amazon!D35-Amazon!E35)/Amazon!E35</f>
        <v>8.9769623975911997E-2</v>
      </c>
      <c r="F35" s="4">
        <f>(NVIDIA!D35-NVIDIA!E35)/NVIDIA!E35</f>
        <v>0.12041768495889807</v>
      </c>
      <c r="G35" s="4">
        <f>('Meta(Facebook)'!D35-'Meta(Facebook)'!E35)/'Meta(Facebook)'!E35</f>
        <v>0.153797105145699</v>
      </c>
      <c r="H35" s="4">
        <f>('Samsung 005930'!D35-'Samsung 005930'!E35)/'Samsung 005930'!E35</f>
        <v>0.10407876230661041</v>
      </c>
      <c r="I35" s="4">
        <f>(Tesla!D35-Tesla!E35)/Tesla!E35</f>
        <v>0.16183172655565298</v>
      </c>
      <c r="J35" s="4">
        <f>(Intel!D35-Intel!E35)/Intel!E35</f>
        <v>0.24556716055380129</v>
      </c>
      <c r="K35" s="4">
        <f>(Tencent!D35-Tencent!E35)/Tencent!E35</f>
        <v>0.23596358118361146</v>
      </c>
    </row>
    <row r="36" spans="1:11" x14ac:dyDescent="0.5">
      <c r="A36" s="3" t="str" cm="1">
        <f t="array" ref="A36">INDEX(Tencent!$A$2:$A$173,ROWS(Tencent!$A$2:$A$173)-ROW(A35)+1)</f>
        <v>04/01/2015</v>
      </c>
      <c r="B36" s="4">
        <f>(Apple!D36-Apple!E36)/Apple!E36</f>
        <v>0.13408182459440396</v>
      </c>
      <c r="C36" s="4">
        <f>(Microsoft!D36-Microsoft!E36)/Microsoft!E36</f>
        <v>0.13145885470337124</v>
      </c>
      <c r="D36" s="4">
        <f>(Google!D36-Google!E36)/Google!E36</f>
        <v>0.12699054239754259</v>
      </c>
      <c r="E36" s="4">
        <f>(Amazon!D36-Amazon!E36)/Amazon!E36</f>
        <v>0.11629646249345585</v>
      </c>
      <c r="F36" s="4">
        <f>(NVIDIA!D36-NVIDIA!E36)/NVIDIA!E36</f>
        <v>0.2368485441644238</v>
      </c>
      <c r="G36" s="4">
        <f>('Meta(Facebook)'!D36-'Meta(Facebook)'!E36)/'Meta(Facebook)'!E36</f>
        <v>0.13606095742918664</v>
      </c>
      <c r="H36" s="4">
        <f>('Samsung 005930'!D36-'Samsung 005930'!E36)/'Samsung 005930'!E36</f>
        <v>9.0638930163447248E-2</v>
      </c>
      <c r="I36" s="4">
        <f>(Tesla!D36-Tesla!E36)/Tesla!E36</f>
        <v>0.2774829416224413</v>
      </c>
      <c r="J36" s="4">
        <f>(Intel!D36-Intel!E36)/Intel!E36</f>
        <v>0.24972436604189641</v>
      </c>
      <c r="K36" s="4">
        <f>(Tencent!D36-Tencent!E36)/Tencent!E36</f>
        <v>0.16947960618846711</v>
      </c>
    </row>
    <row r="37" spans="1:11" x14ac:dyDescent="0.5">
      <c r="A37" s="3" t="str" cm="1">
        <f t="array" ref="A37">INDEX(Tencent!$A$2:$A$173,ROWS(Tencent!$A$2:$A$173)-ROW(A36)+1)</f>
        <v>05/01/2015</v>
      </c>
      <c r="B37" s="4">
        <f>(Apple!D37-Apple!E37)/Apple!E37</f>
        <v>0.10062171787287992</v>
      </c>
      <c r="C37" s="4">
        <f>(Microsoft!D37-Microsoft!E37)/Microsoft!E37</f>
        <v>0.11243211979049519</v>
      </c>
      <c r="D37" s="4">
        <f>(Google!D37-Google!E37)/Google!E37</f>
        <v>0.17477747275601035</v>
      </c>
      <c r="E37" s="4">
        <f>(Amazon!D37-Amazon!E37)/Amazon!E37</f>
        <v>0.13629066328686099</v>
      </c>
      <c r="F37" s="4">
        <f>(NVIDIA!D37-NVIDIA!E37)/NVIDIA!E37</f>
        <v>0.21361203160846298</v>
      </c>
      <c r="G37" s="4">
        <f>('Meta(Facebook)'!D37-'Meta(Facebook)'!E37)/'Meta(Facebook)'!E37</f>
        <v>0.18303507516105957</v>
      </c>
      <c r="H37" s="4">
        <f>('Samsung 005930'!D37-'Samsung 005930'!E37)/'Samsung 005930'!E37</f>
        <v>6.8181818181818177E-2</v>
      </c>
      <c r="I37" s="4">
        <f>(Tesla!D37-Tesla!E37)/Tesla!E37</f>
        <v>0.385788632967486</v>
      </c>
      <c r="J37" s="4">
        <f>(Intel!D37-Intel!E37)/Intel!E37</f>
        <v>0.15769828926905133</v>
      </c>
      <c r="K37" s="4">
        <f>(Tencent!D37-Tencent!E37)/Tencent!E37</f>
        <v>0.12243453644727517</v>
      </c>
    </row>
    <row r="38" spans="1:11" x14ac:dyDescent="0.5">
      <c r="A38" s="3" t="str" cm="1">
        <f t="array" ref="A38">INDEX(Tencent!$A$2:$A$173,ROWS(Tencent!$A$2:$A$173)-ROW(A37)+1)</f>
        <v>06/01/2015</v>
      </c>
      <c r="B38" s="4">
        <f>(Apple!D38-Apple!E38)/Apple!E38</f>
        <v>0.13339696933540141</v>
      </c>
      <c r="C38" s="4">
        <f>(Microsoft!D38-Microsoft!E38)/Microsoft!E38</f>
        <v>0.10150266602035879</v>
      </c>
      <c r="D38" s="4">
        <f>(Google!D38-Google!E38)/Google!E38</f>
        <v>9.3853167740921228E-2</v>
      </c>
      <c r="E38" s="4">
        <f>(Amazon!D38-Amazon!E38)/Amazon!E38</f>
        <v>0.1854681404421327</v>
      </c>
      <c r="F38" s="4">
        <f>(NVIDIA!D38-NVIDIA!E38)/NVIDIA!E38</f>
        <v>0.21522693997071746</v>
      </c>
      <c r="G38" s="4">
        <f>('Meta(Facebook)'!D38-'Meta(Facebook)'!E38)/'Meta(Facebook)'!E38</f>
        <v>9.0937619861222438E-2</v>
      </c>
      <c r="H38" s="4">
        <f>('Samsung 005930'!D38-'Samsung 005930'!E38)/'Samsung 005930'!E38</f>
        <v>9.2953523238380811E-2</v>
      </c>
      <c r="I38" s="4">
        <f>(Tesla!D38-Tesla!E38)/Tesla!E38</f>
        <v>0.18927444794952683</v>
      </c>
      <c r="J38" s="4">
        <f>(Intel!D38-Intel!E38)/Intel!E38</f>
        <v>0.19114149821640902</v>
      </c>
      <c r="K38" s="4">
        <f>(Tencent!D38-Tencent!E38)/Tencent!E38</f>
        <v>0.130229419703104</v>
      </c>
    </row>
    <row r="39" spans="1:11" x14ac:dyDescent="0.5">
      <c r="A39" s="3" t="str" cm="1">
        <f t="array" ref="A39">INDEX(Tencent!$A$2:$A$173,ROWS(Tencent!$A$2:$A$173)-ROW(A38)+1)</f>
        <v>07/01/2015</v>
      </c>
      <c r="B39" s="4">
        <f>(Apple!D39-Apple!E39)/Apple!E39</f>
        <v>0.14404512677366818</v>
      </c>
      <c r="C39" s="4">
        <f>(Microsoft!D39-Microsoft!E39)/Microsoft!E39</f>
        <v>8.6631359332370428E-2</v>
      </c>
      <c r="D39" s="4">
        <f>(Google!D39-Google!E39)/Google!E39</f>
        <v>9.1944927994935949E-2</v>
      </c>
      <c r="E39" s="4">
        <f>(Amazon!D39-Amazon!E39)/Amazon!E39</f>
        <v>0.13622340004746458</v>
      </c>
      <c r="F39" s="4">
        <f>(NVIDIA!D39-NVIDIA!E39)/NVIDIA!E39</f>
        <v>0.24708509054825106</v>
      </c>
      <c r="G39" s="4">
        <f>('Meta(Facebook)'!D39-'Meta(Facebook)'!E39)/'Meta(Facebook)'!E39</f>
        <v>0.1813543261170639</v>
      </c>
      <c r="H39" s="4">
        <f>('Samsung 005930'!D39-'Samsung 005930'!E39)/'Samsung 005930'!E39</f>
        <v>8.2066869300911852E-2</v>
      </c>
      <c r="I39" s="4">
        <f>(Tesla!D39-Tesla!E39)/Tesla!E39</f>
        <v>0.25480316443774725</v>
      </c>
      <c r="J39" s="4">
        <f>(Intel!D39-Intel!E39)/Intel!E39</f>
        <v>0.12492192379762647</v>
      </c>
      <c r="K39" s="4">
        <f>(Tencent!D39-Tencent!E39)/Tencent!E39</f>
        <v>0.14821882951653953</v>
      </c>
    </row>
    <row r="40" spans="1:11" x14ac:dyDescent="0.5">
      <c r="A40" s="3" t="str" cm="1">
        <f t="array" ref="A40">INDEX(Tencent!$A$2:$A$173,ROWS(Tencent!$A$2:$A$173)-ROW(A39)+1)</f>
        <v>08/01/2015</v>
      </c>
      <c r="B40" s="4">
        <f>(Apple!D40-Apple!E40)/Apple!E40</f>
        <v>6.2325830653804905E-2</v>
      </c>
      <c r="C40" s="4">
        <f>(Microsoft!D40-Microsoft!E40)/Microsoft!E40</f>
        <v>0.12165137614678891</v>
      </c>
      <c r="D40" s="4">
        <f>(Google!D40-Google!E40)/Google!E40</f>
        <v>0.15942782834850469</v>
      </c>
      <c r="E40" s="4">
        <f>(Amazon!D40-Amazon!E40)/Amazon!E40</f>
        <v>8.521283354510803E-2</v>
      </c>
      <c r="F40" s="4">
        <f>(NVIDIA!D40-NVIDIA!E40)/NVIDIA!E40</f>
        <v>0.16299879081015722</v>
      </c>
      <c r="G40" s="4">
        <f>('Meta(Facebook)'!D40-'Meta(Facebook)'!E40)/'Meta(Facebook)'!E40</f>
        <v>0.14516412146743887</v>
      </c>
      <c r="H40" s="4">
        <f>('Samsung 005930'!D40-'Samsung 005930'!E40)/'Samsung 005930'!E40</f>
        <v>8.0763582966226141E-2</v>
      </c>
      <c r="I40" s="4">
        <f>(Tesla!D40-Tesla!E40)/Tesla!E40</f>
        <v>0.17775066897528732</v>
      </c>
      <c r="J40" s="4">
        <f>(Intel!D40-Intel!E40)/Intel!E40</f>
        <v>0.18514977692797957</v>
      </c>
      <c r="K40" s="4">
        <f>(Tencent!D40-Tencent!E40)/Tencent!E40</f>
        <v>0.13437499999999999</v>
      </c>
    </row>
    <row r="41" spans="1:11" x14ac:dyDescent="0.5">
      <c r="A41" s="3" t="str" cm="1">
        <f t="array" ref="A41">INDEX(Tencent!$A$2:$A$173,ROWS(Tencent!$A$2:$A$173)-ROW(A40)+1)</f>
        <v>09/01/2015</v>
      </c>
      <c r="B41" s="4">
        <f>(Apple!D41-Apple!E41)/Apple!E41</f>
        <v>9.9191770756796374E-2</v>
      </c>
      <c r="C41" s="4">
        <f>(Microsoft!D41-Microsoft!E41)/Microsoft!E41</f>
        <v>8.982945736434117E-2</v>
      </c>
      <c r="D41" s="4">
        <f>(Google!D41-Google!E41)/Google!E41</f>
        <v>0.11145564168819981</v>
      </c>
      <c r="E41" s="4">
        <f>(Amazon!D41-Amazon!E41)/Amazon!E41</f>
        <v>9.6389560577003264E-2</v>
      </c>
      <c r="F41" s="4">
        <f>(NVIDIA!D41-NVIDIA!E41)/NVIDIA!E41</f>
        <v>0.17746252676659535</v>
      </c>
      <c r="G41" s="4">
        <f>('Meta(Facebook)'!D41-'Meta(Facebook)'!E41)/'Meta(Facebook)'!E41</f>
        <v>0.11939894932014843</v>
      </c>
      <c r="H41" s="4">
        <f>('Samsung 005930'!D41-'Samsung 005930'!E41)/'Samsung 005930'!E41</f>
        <v>4.8571428571428571E-2</v>
      </c>
      <c r="I41" s="4">
        <f>(Tesla!D41-Tesla!E41)/Tesla!E41</f>
        <v>0.38932637809098664</v>
      </c>
      <c r="J41" s="4">
        <f>(Intel!D41-Intel!E41)/Intel!E41</f>
        <v>0.24949494949494952</v>
      </c>
      <c r="K41" s="4">
        <f>(Tencent!D41-Tencent!E41)/Tencent!E41</f>
        <v>0.1709511568123393</v>
      </c>
    </row>
    <row r="42" spans="1:11" x14ac:dyDescent="0.5">
      <c r="A42" s="3" t="str" cm="1">
        <f t="array" ref="A42">INDEX(Tencent!$A$2:$A$173,ROWS(Tencent!$A$2:$A$173)-ROW(A41)+1)</f>
        <v>10/01/2015</v>
      </c>
      <c r="B42" s="4">
        <f>(Apple!D42-Apple!E42)/Apple!E42</f>
        <v>9.1534294930314605E-2</v>
      </c>
      <c r="C42" s="4">
        <f>(Microsoft!D42-Microsoft!E42)/Microsoft!E42</f>
        <v>0.10725115359261708</v>
      </c>
      <c r="D42" s="4">
        <f>(Google!D42-Google!E42)/Google!E42</f>
        <v>0.21907241346061146</v>
      </c>
      <c r="E42" s="4">
        <f>(Amazon!D42-Amazon!E42)/Amazon!E42</f>
        <v>0.21522491349480963</v>
      </c>
      <c r="F42" s="4">
        <f>(NVIDIA!D42-NVIDIA!E42)/NVIDIA!E42</f>
        <v>0.53964757709251099</v>
      </c>
      <c r="G42" s="4">
        <f>('Meta(Facebook)'!D42-'Meta(Facebook)'!E42)/'Meta(Facebook)'!E42</f>
        <v>0.16880574287578848</v>
      </c>
      <c r="H42" s="4">
        <f>('Samsung 005930'!D42-'Samsung 005930'!E42)/'Samsung 005930'!E42</f>
        <v>0.13993710691823899</v>
      </c>
      <c r="I42" s="4">
        <f>(Tesla!D42-Tesla!E42)/Tesla!E42</f>
        <v>0.28741421645784787</v>
      </c>
      <c r="J42" s="4">
        <f>(Intel!D42-Intel!E42)/Intel!E42</f>
        <v>0.20215934475055844</v>
      </c>
      <c r="K42" s="4">
        <f>(Tencent!D42-Tencent!E42)/Tencent!E42</f>
        <v>0.15816993464052281</v>
      </c>
    </row>
    <row r="43" spans="1:11" x14ac:dyDescent="0.5">
      <c r="A43" s="3" t="str" cm="1">
        <f t="array" ref="A43">INDEX(Tencent!$A$2:$A$173,ROWS(Tencent!$A$2:$A$173)-ROW(A42)+1)</f>
        <v>11/01/2015</v>
      </c>
      <c r="B43" s="4">
        <f>(Apple!D43-Apple!E43)/Apple!E43</f>
        <v>6.3024158217549087E-2</v>
      </c>
      <c r="C43" s="4">
        <f>(Microsoft!D43-Microsoft!E43)/Microsoft!E43</f>
        <v>0.12187238987544033</v>
      </c>
      <c r="D43" s="4">
        <f>(Google!D43-Google!E43)/Google!E43</f>
        <v>7.1029137643480761E-2</v>
      </c>
      <c r="E43" s="4">
        <f>(Amazon!D43-Amazon!E43)/Amazon!E43</f>
        <v>0.13458192610787029</v>
      </c>
      <c r="F43" s="4">
        <f>(NVIDIA!D43-NVIDIA!E43)/NVIDIA!E43</f>
        <v>7.208237986270026E-2</v>
      </c>
      <c r="G43" s="4">
        <f>('Meta(Facebook)'!D43-'Meta(Facebook)'!E43)/'Meta(Facebook)'!E43</f>
        <v>0.16680345676628211</v>
      </c>
      <c r="H43" s="4">
        <f>('Samsung 005930'!D43-'Samsung 005930'!E43)/'Samsung 005930'!E43</f>
        <v>6.9020866773675763E-2</v>
      </c>
      <c r="I43" s="4">
        <f>(Tesla!D43-Tesla!E43)/Tesla!E43</f>
        <v>0.33024873662794507</v>
      </c>
      <c r="J43" s="4">
        <f>(Intel!D43-Intel!E43)/Intel!E43</f>
        <v>0.1869519466853736</v>
      </c>
      <c r="K43" s="4">
        <f>(Tencent!D43-Tencent!E43)/Tencent!E43</f>
        <v>0.17417417417417416</v>
      </c>
    </row>
    <row r="44" spans="1:11" x14ac:dyDescent="0.5">
      <c r="A44" s="3" t="str" cm="1">
        <f t="array" ref="A44">INDEX(Tencent!$A$2:$A$173,ROWS(Tencent!$A$2:$A$173)-ROW(A43)+1)</f>
        <v>12/01/2015</v>
      </c>
      <c r="B44" s="4">
        <f>(Apple!D44-Apple!E44)/Apple!E44</f>
        <v>0.14662960389159133</v>
      </c>
      <c r="C44" s="4">
        <f>(Microsoft!D44-Microsoft!E44)/Microsoft!E44</f>
        <v>0.1777614917959365</v>
      </c>
      <c r="D44" s="4">
        <f>(Google!D44-Google!E44)/Google!E44</f>
        <v>0.19201520912547529</v>
      </c>
      <c r="E44" s="4">
        <f>(Amazon!D44-Amazon!E44)/Amazon!E44</f>
        <v>0.17442124375851101</v>
      </c>
      <c r="F44" s="4">
        <f>(NVIDIA!D44-NVIDIA!E44)/NVIDIA!E44</f>
        <v>0.24798206278026894</v>
      </c>
      <c r="G44" s="4">
        <f>('Meta(Facebook)'!D44-'Meta(Facebook)'!E44)/'Meta(Facebook)'!E44</f>
        <v>0.23764801959983656</v>
      </c>
      <c r="H44" s="4">
        <f>('Samsung 005930'!D44-'Samsung 005930'!E44)/'Samsung 005930'!E44</f>
        <v>8.4745762711864403E-2</v>
      </c>
      <c r="I44" s="4">
        <f>(Tesla!D44-Tesla!E44)/Tesla!E44</f>
        <v>0.26770788847538279</v>
      </c>
      <c r="J44" s="4">
        <f>(Intel!D44-Intel!E44)/Intel!E44</f>
        <v>0.31758109731678014</v>
      </c>
      <c r="K44" s="4">
        <f>(Tencent!D44-Tencent!E44)/Tencent!E44</f>
        <v>0.20338983050847473</v>
      </c>
    </row>
    <row r="45" spans="1:11" x14ac:dyDescent="0.5">
      <c r="A45" s="3" t="str" cm="1">
        <f t="array" ref="A45">INDEX(Tencent!$A$2:$A$173,ROWS(Tencent!$A$2:$A$173)-ROW(A44)+1)</f>
        <v>01/01/2016</v>
      </c>
      <c r="B45" s="4">
        <f>(Apple!D45-Apple!E45)/Apple!E45</f>
        <v>0.11364279649023495</v>
      </c>
      <c r="C45" s="4">
        <f>(Microsoft!D45-Microsoft!E45)/Microsoft!E45</f>
        <v>0.12746975190450968</v>
      </c>
      <c r="D45" s="4">
        <f>(Google!D45-Google!E45)/Google!E45</f>
        <v>0.22140679688382087</v>
      </c>
      <c r="E45" s="4">
        <f>(Amazon!D45-Amazon!E45)/Amazon!E45</f>
        <v>0.23483535528596197</v>
      </c>
      <c r="F45" s="4">
        <f>(NVIDIA!D45-NVIDIA!E45)/NVIDIA!E45</f>
        <v>0.21825599184089756</v>
      </c>
      <c r="G45" s="4">
        <f>('Meta(Facebook)'!D45-'Meta(Facebook)'!E45)/'Meta(Facebook)'!E45</f>
        <v>0.3406772745818033</v>
      </c>
      <c r="H45" s="4">
        <f>('Samsung 005930'!D45-'Samsung 005930'!E45)/'Samsung 005930'!E45</f>
        <v>6.3122923588039864E-2</v>
      </c>
      <c r="I45" s="4">
        <f>(Tesla!D45-Tesla!E45)/Tesla!E45</f>
        <v>0.28082151474136408</v>
      </c>
      <c r="J45" s="4">
        <f>(Intel!D45-Intel!E45)/Intel!E45</f>
        <v>0.26041245450869394</v>
      </c>
      <c r="K45" s="4">
        <f>(Tencent!D45-Tencent!E45)/Tencent!E45</f>
        <v>0.15869311551925314</v>
      </c>
    </row>
    <row r="46" spans="1:11" x14ac:dyDescent="0.5">
      <c r="A46" s="3" t="str" cm="1">
        <f t="array" ref="A46">INDEX(Tencent!$A$2:$A$173,ROWS(Tencent!$A$2:$A$173)-ROW(A45)+1)</f>
        <v>02/01/2016</v>
      </c>
      <c r="B46" s="4">
        <f>(Apple!D46-Apple!E46)/Apple!E46</f>
        <v>0.18571313521784641</v>
      </c>
      <c r="C46" s="4">
        <f>(Microsoft!D46-Microsoft!E46)/Microsoft!E46</f>
        <v>0.13895600638249381</v>
      </c>
      <c r="D46" s="4">
        <f>(Google!D46-Google!E46)/Google!E46</f>
        <v>0.18218241810040059</v>
      </c>
      <c r="E46" s="4">
        <f>(Amazon!D46-Amazon!E46)/Amazon!E46</f>
        <v>0.27090752793810619</v>
      </c>
      <c r="F46" s="4">
        <f>(NVIDIA!D46-NVIDIA!E46)/NVIDIA!E46</f>
        <v>0.47042052744119744</v>
      </c>
      <c r="G46" s="4">
        <f>('Meta(Facebook)'!D46-'Meta(Facebook)'!E46)/'Meta(Facebook)'!E46</f>
        <v>0.25278050376185801</v>
      </c>
      <c r="H46" s="4">
        <f>('Samsung 005930'!D46-'Samsung 005930'!E46)/'Samsung 005930'!E46</f>
        <v>0.19266055045871561</v>
      </c>
      <c r="I46" s="4">
        <f>(Tesla!D46-Tesla!E46)/Tesla!E46</f>
        <v>0.77467832236519008</v>
      </c>
      <c r="J46" s="4">
        <f>(Intel!D46-Intel!E46)/Intel!E46</f>
        <v>0.15623814941221073</v>
      </c>
      <c r="K46" s="4">
        <f>(Tencent!D46-Tencent!E46)/Tencent!E46</f>
        <v>0.33401645906048866</v>
      </c>
    </row>
    <row r="47" spans="1:11" x14ac:dyDescent="0.5">
      <c r="A47" s="3" t="str" cm="1">
        <f t="array" ref="A47">INDEX(Tencent!$A$2:$A$173,ROWS(Tencent!$A$2:$A$173)-ROW(A46)+1)</f>
        <v>03/01/2016</v>
      </c>
      <c r="B47" s="4">
        <f>(Apple!D47-Apple!E47)/Apple!E47</f>
        <v>0.19901485659807724</v>
      </c>
      <c r="C47" s="4">
        <f>(Microsoft!D47-Microsoft!E47)/Microsoft!E47</f>
        <v>0.12849018685594565</v>
      </c>
      <c r="D47" s="4">
        <f>(Google!D47-Google!E47)/Google!E47</f>
        <v>0.18978356993251108</v>
      </c>
      <c r="E47" s="4">
        <f>(Amazon!D47-Amazon!E47)/Amazon!E47</f>
        <v>0.1902313624678664</v>
      </c>
      <c r="F47" s="4">
        <f>(NVIDIA!D47-NVIDIA!E47)/NVIDIA!E47</f>
        <v>0.35374639769452437</v>
      </c>
      <c r="G47" s="4">
        <f>('Meta(Facebook)'!D47-'Meta(Facebook)'!E47)/'Meta(Facebook)'!E47</f>
        <v>0.10857193668860046</v>
      </c>
      <c r="H47" s="4">
        <f>('Samsung 005930'!D47-'Samsung 005930'!E47)/'Samsung 005930'!E47</f>
        <v>0.14285714285714285</v>
      </c>
      <c r="I47" s="4">
        <f>(Tesla!D47-Tesla!E47)/Tesla!E47</f>
        <v>0.83776792313377679</v>
      </c>
      <c r="J47" s="4">
        <f>(Intel!D47-Intel!E47)/Intel!E47</f>
        <v>0.20236686390532541</v>
      </c>
      <c r="K47" s="4">
        <f>(Tencent!D47-Tencent!E47)/Tencent!E47</f>
        <v>0.17902148402238666</v>
      </c>
    </row>
    <row r="48" spans="1:11" x14ac:dyDescent="0.5">
      <c r="A48" s="3" t="str" cm="1">
        <f t="array" ref="A48">INDEX(Tencent!$A$2:$A$173,ROWS(Tencent!$A$2:$A$173)-ROW(A47)+1)</f>
        <v>04/01/2016</v>
      </c>
      <c r="B48" s="4">
        <f>(Apple!D48-Apple!E48)/Apple!E48</f>
        <v>0.15679416579848188</v>
      </c>
      <c r="C48" s="4">
        <f>(Microsoft!D48-Microsoft!E48)/Microsoft!E48</f>
        <v>0.19631729372628029</v>
      </c>
      <c r="D48" s="4">
        <f>(Google!D48-Google!E48)/Google!E48</f>
        <v>0.21238300935925128</v>
      </c>
      <c r="E48" s="4">
        <f>(Amazon!D48-Amazon!E48)/Amazon!E48</f>
        <v>0.21788750436706641</v>
      </c>
      <c r="F48" s="4">
        <f>(NVIDIA!D48-NVIDIA!E48)/NVIDIA!E48</f>
        <v>0.31172839506172834</v>
      </c>
      <c r="G48" s="4">
        <f>('Meta(Facebook)'!D48-'Meta(Facebook)'!E48)/'Meta(Facebook)'!E48</f>
        <v>0.34793960721988865</v>
      </c>
      <c r="H48" s="4">
        <f>('Samsung 005930'!D48-'Samsung 005930'!E48)/'Samsung 005930'!E48</f>
        <v>8.7779690189328741E-2</v>
      </c>
      <c r="I48" s="4">
        <f>(Tesla!D48-Tesla!E48)/Tesla!E48</f>
        <v>0.42857142857142855</v>
      </c>
      <c r="J48" s="4">
        <f>(Intel!D48-Intel!E48)/Intel!E48</f>
        <v>0.15347810084652183</v>
      </c>
      <c r="K48" s="4">
        <f>(Tencent!D48-Tencent!E48)/Tencent!E48</f>
        <v>0.4571848398865016</v>
      </c>
    </row>
    <row r="49" spans="1:11" x14ac:dyDescent="0.5">
      <c r="A49" s="3" t="str" cm="1">
        <f t="array" ref="A49">INDEX(Tencent!$A$2:$A$173,ROWS(Tencent!$A$2:$A$173)-ROW(A48)+1)</f>
        <v>05/01/2016</v>
      </c>
      <c r="B49" s="4">
        <f>(Apple!D49-Apple!E49)/Apple!E49</f>
        <v>0.17213663764233084</v>
      </c>
      <c r="C49" s="4">
        <f>(Microsoft!D49-Microsoft!E49)/Microsoft!E49</f>
        <v>0.14562132067722355</v>
      </c>
      <c r="D49" s="4">
        <f>(Google!D49-Google!E49)/Google!E49</f>
        <v>0.14183006535947709</v>
      </c>
      <c r="E49" s="4">
        <f>(Amazon!D49-Amazon!E49)/Amazon!E49</f>
        <v>0.25947163628916653</v>
      </c>
      <c r="F49" s="4">
        <f>(NVIDIA!D49-NVIDIA!E49)/NVIDIA!E49</f>
        <v>0.28122109158186853</v>
      </c>
      <c r="G49" s="4">
        <f>('Meta(Facebook)'!D49-'Meta(Facebook)'!E49)/'Meta(Facebook)'!E49</f>
        <v>0.53768898488120942</v>
      </c>
      <c r="H49" s="4">
        <f>('Samsung 005930'!D49-'Samsung 005930'!E49)/'Samsung 005930'!E49</f>
        <v>0.11296296296296296</v>
      </c>
      <c r="I49" s="4">
        <f>(Tesla!D49-Tesla!E49)/Tesla!E49</f>
        <v>0.29664132131527265</v>
      </c>
      <c r="J49" s="4">
        <f>(Intel!D49-Intel!E49)/Intel!E49</f>
        <v>0.18828792191947943</v>
      </c>
      <c r="K49" s="4">
        <f>(Tencent!D49-Tencent!E49)/Tencent!E49</f>
        <v>0.42294438848539484</v>
      </c>
    </row>
    <row r="50" spans="1:11" x14ac:dyDescent="0.5">
      <c r="A50" s="3" t="str" cm="1">
        <f t="array" ref="A50">INDEX(Tencent!$A$2:$A$173,ROWS(Tencent!$A$2:$A$173)-ROW(A49)+1)</f>
        <v>06/01/2016</v>
      </c>
      <c r="B50" s="4">
        <f>(Apple!D50-Apple!E50)/Apple!E50</f>
        <v>0.19028985507246371</v>
      </c>
      <c r="C50" s="4">
        <f>(Microsoft!D50-Microsoft!E50)/Microsoft!E50</f>
        <v>0.14918575172947193</v>
      </c>
      <c r="D50" s="4">
        <f>(Google!D50-Google!E50)/Google!E50</f>
        <v>0.16806195060694853</v>
      </c>
      <c r="E50" s="4">
        <f>(Amazon!D50-Amazon!E50)/Amazon!E50</f>
        <v>0.21800820988756028</v>
      </c>
      <c r="F50" s="4">
        <f>(NVIDIA!D50-NVIDIA!E50)/NVIDIA!E50</f>
        <v>0.2175732217573223</v>
      </c>
      <c r="G50" s="4">
        <f>('Meta(Facebook)'!D50-'Meta(Facebook)'!E50)/'Meta(Facebook)'!E50</f>
        <v>0.27788547569340877</v>
      </c>
      <c r="H50" s="4">
        <f>('Samsung 005930'!D50-'Samsung 005930'!E50)/'Samsung 005930'!E50</f>
        <v>0.13706563706563707</v>
      </c>
      <c r="I50" s="4">
        <f>(Tesla!D50-Tesla!E50)/Tesla!E50</f>
        <v>0.19556520745228018</v>
      </c>
      <c r="J50" s="4">
        <f>(Intel!D50-Intel!E50)/Intel!E50</f>
        <v>0.25796425796425815</v>
      </c>
      <c r="K50" s="4">
        <f>(Tencent!D50-Tencent!E50)/Tencent!E50</f>
        <v>0.26557756830164564</v>
      </c>
    </row>
    <row r="51" spans="1:11" x14ac:dyDescent="0.5">
      <c r="A51" s="3" t="str" cm="1">
        <f t="array" ref="A51">INDEX(Tencent!$A$2:$A$173,ROWS(Tencent!$A$2:$A$173)-ROW(A50)+1)</f>
        <v>07/01/2016</v>
      </c>
      <c r="B51" s="4">
        <f>(Apple!D51-Apple!E51)/Apple!E51</f>
        <v>0.12097492681685135</v>
      </c>
      <c r="C51" s="4">
        <f>(Microsoft!D51-Microsoft!E51)/Microsoft!E51</f>
        <v>0.12859663930023776</v>
      </c>
      <c r="D51" s="4">
        <f>(Google!D51-Google!E51)/Google!E51</f>
        <v>0.13571428571428581</v>
      </c>
      <c r="E51" s="4">
        <f>(Amazon!D51-Amazon!E51)/Amazon!E51</f>
        <v>0.15646204828783336</v>
      </c>
      <c r="F51" s="4">
        <f>(NVIDIA!D51-NVIDIA!E51)/NVIDIA!E51</f>
        <v>0.28810160427807474</v>
      </c>
      <c r="G51" s="4">
        <f>('Meta(Facebook)'!D51-'Meta(Facebook)'!E51)/'Meta(Facebook)'!E51</f>
        <v>0.17954003736391166</v>
      </c>
      <c r="H51" s="4">
        <f>('Samsung 005930'!D51-'Samsung 005930'!E51)/'Samsung 005930'!E51</f>
        <v>6.3573883161512024E-2</v>
      </c>
      <c r="I51" s="4">
        <f>(Tesla!D51-Tesla!E51)/Tesla!E51</f>
        <v>0.15768367609727388</v>
      </c>
      <c r="J51" s="4">
        <f>(Intel!D51-Intel!E51)/Intel!E51</f>
        <v>0.18633931381806731</v>
      </c>
      <c r="K51" s="4">
        <f>(Tencent!D51-Tencent!E51)/Tencent!E51</f>
        <v>0.16180448928858662</v>
      </c>
    </row>
    <row r="52" spans="1:11" x14ac:dyDescent="0.5">
      <c r="A52" s="3" t="str" cm="1">
        <f t="array" ref="A52">INDEX(Tencent!$A$2:$A$173,ROWS(Tencent!$A$2:$A$173)-ROW(A51)+1)</f>
        <v>08/01/2016</v>
      </c>
      <c r="B52" s="4">
        <f>(Apple!D52-Apple!E52)/Apple!E52</f>
        <v>0.20617720772519535</v>
      </c>
      <c r="C52" s="4">
        <f>(Microsoft!D52-Microsoft!E52)/Microsoft!E52</f>
        <v>0.14662112710417177</v>
      </c>
      <c r="D52" s="4">
        <f>(Google!D52-Google!E52)/Google!E52</f>
        <v>0.14999519554146262</v>
      </c>
      <c r="E52" s="4">
        <f>(Amazon!D52-Amazon!E52)/Amazon!E52</f>
        <v>0.30042512990080317</v>
      </c>
      <c r="F52" s="4">
        <f>(NVIDIA!D52-NVIDIA!E52)/NVIDIA!E52</f>
        <v>0.29729729729729715</v>
      </c>
      <c r="G52" s="4">
        <f>('Meta(Facebook)'!D52-'Meta(Facebook)'!E52)/'Meta(Facebook)'!E52</f>
        <v>0.18727801097836616</v>
      </c>
      <c r="H52" s="4">
        <f>('Samsung 005930'!D52-'Samsung 005930'!E52)/'Samsung 005930'!E52</f>
        <v>0.12387791741472172</v>
      </c>
      <c r="I52" s="4">
        <f>(Tesla!D52-Tesla!E52)/Tesla!E52</f>
        <v>0.38002498033954762</v>
      </c>
      <c r="J52" s="4">
        <f>(Intel!D52-Intel!E52)/Intel!E52</f>
        <v>0.15578887627695784</v>
      </c>
      <c r="K52" s="4">
        <f>(Tencent!D52-Tencent!E52)/Tencent!E52</f>
        <v>0.17115437724385524</v>
      </c>
    </row>
    <row r="53" spans="1:11" x14ac:dyDescent="0.5">
      <c r="A53" s="3" t="str" cm="1">
        <f t="array" ref="A53">INDEX(Tencent!$A$2:$A$173,ROWS(Tencent!$A$2:$A$173)-ROW(A52)+1)</f>
        <v>09/01/2016</v>
      </c>
      <c r="B53" s="4">
        <f>(Apple!D53-Apple!E53)/Apple!E53</f>
        <v>0.17591444513329216</v>
      </c>
      <c r="C53" s="4">
        <f>(Microsoft!D53-Microsoft!E53)/Microsoft!E53</f>
        <v>0.14980746138876241</v>
      </c>
      <c r="D53" s="4">
        <f>(Google!D53-Google!E53)/Google!E53</f>
        <v>0.13612565445026176</v>
      </c>
      <c r="E53" s="4">
        <f>(Amazon!D53-Amazon!E53)/Amazon!E53</f>
        <v>0.27171448289460715</v>
      </c>
      <c r="F53" s="4">
        <f>(NVIDIA!D53-NVIDIA!E53)/NVIDIA!E53</f>
        <v>0.32032301480484532</v>
      </c>
      <c r="G53" s="4">
        <f>('Meta(Facebook)'!D53-'Meta(Facebook)'!E53)/'Meta(Facebook)'!E53</f>
        <v>0.30975688816855756</v>
      </c>
      <c r="H53" s="4">
        <f>('Samsung 005930'!D53-'Samsung 005930'!E53)/'Samsung 005930'!E53</f>
        <v>0.18485915492957747</v>
      </c>
      <c r="I53" s="4">
        <f>(Tesla!D53-Tesla!E53)/Tesla!E53</f>
        <v>0.26604053859792026</v>
      </c>
      <c r="J53" s="4">
        <f>(Intel!D53-Intel!E53)/Intel!E53</f>
        <v>0.22759562841530048</v>
      </c>
      <c r="K53" s="4">
        <f>(Tencent!D53-Tencent!E53)/Tencent!E53</f>
        <v>0.14980805285242399</v>
      </c>
    </row>
    <row r="54" spans="1:11" x14ac:dyDescent="0.5">
      <c r="A54" s="3" t="str" cm="1">
        <f t="array" ref="A54">INDEX(Tencent!$A$2:$A$173,ROWS(Tencent!$A$2:$A$173)-ROW(A53)+1)</f>
        <v>10/01/2016</v>
      </c>
      <c r="B54" s="4">
        <f>(Apple!D54-Apple!E54)/Apple!E54</f>
        <v>0.25541060251866354</v>
      </c>
      <c r="C54" s="4">
        <f>(Microsoft!D54-Microsoft!E54)/Microsoft!E54</f>
        <v>0.18032786885245902</v>
      </c>
      <c r="D54" s="4">
        <f>(Google!D54-Google!E54)/Google!E54</f>
        <v>0.2058303886925795</v>
      </c>
      <c r="E54" s="4">
        <f>(Amazon!D54-Amazon!E54)/Amazon!E54</f>
        <v>0.24649417341497129</v>
      </c>
      <c r="F54" s="4">
        <f>(NVIDIA!D54-NVIDIA!E54)/NVIDIA!E54</f>
        <v>0.31021194605009622</v>
      </c>
      <c r="G54" s="4">
        <f>('Meta(Facebook)'!D54-'Meta(Facebook)'!E54)/'Meta(Facebook)'!E54</f>
        <v>0.27363579580943725</v>
      </c>
      <c r="H54" s="4">
        <f>('Samsung 005930'!D54-'Samsung 005930'!E54)/'Samsung 005930'!E54</f>
        <v>6.0092449922958396E-2</v>
      </c>
      <c r="I54" s="4">
        <f>(Tesla!D54-Tesla!E54)/Tesla!E54</f>
        <v>0.53968867833317213</v>
      </c>
      <c r="J54" s="4">
        <f>(Intel!D54-Intel!E54)/Intel!E54</f>
        <v>0.15703299429421974</v>
      </c>
      <c r="K54" s="4">
        <f>(Tencent!D54-Tencent!E54)/Tencent!E54</f>
        <v>0.16606578821427434</v>
      </c>
    </row>
    <row r="55" spans="1:11" x14ac:dyDescent="0.5">
      <c r="A55" s="3" t="str" cm="1">
        <f t="array" ref="A55">INDEX(Tencent!$A$2:$A$173,ROWS(Tencent!$A$2:$A$173)-ROW(A54)+1)</f>
        <v>11/01/2016</v>
      </c>
      <c r="B55" s="4">
        <f>(Apple!D55-Apple!E55)/Apple!E55</f>
        <v>0.14873214055863054</v>
      </c>
      <c r="C55" s="4">
        <f>(Microsoft!D55-Microsoft!E55)/Microsoft!E55</f>
        <v>0.16707407407407412</v>
      </c>
      <c r="D55" s="4">
        <f>(Google!D55-Google!E55)/Google!E55</f>
        <v>0.27470285612914686</v>
      </c>
      <c r="E55" s="4">
        <f>(Amazon!D55-Amazon!E55)/Amazon!E55</f>
        <v>0.3844446271479075</v>
      </c>
      <c r="F55" s="4">
        <f>(NVIDIA!D55-NVIDIA!E55)/NVIDIA!E55</f>
        <v>0.50683433570256975</v>
      </c>
      <c r="G55" s="4">
        <f>('Meta(Facebook)'!D55-'Meta(Facebook)'!E55)/'Meta(Facebook)'!E55</f>
        <v>0.40153846153846162</v>
      </c>
      <c r="H55" s="4">
        <f>('Samsung 005930'!D55-'Samsung 005930'!E55)/'Samsung 005930'!E55</f>
        <v>7.9069767441860464E-2</v>
      </c>
      <c r="I55" s="4">
        <f>(Tesla!D55-Tesla!E55)/Tesla!E55</f>
        <v>0.40303030303030324</v>
      </c>
      <c r="J55" s="4">
        <f>(Intel!D55-Intel!E55)/Intel!E55</f>
        <v>0.14712643678160917</v>
      </c>
      <c r="K55" s="4">
        <f>(Tencent!D55-Tencent!E55)/Tencent!E55</f>
        <v>0.20231812736750091</v>
      </c>
    </row>
    <row r="56" spans="1:11" x14ac:dyDescent="0.5">
      <c r="A56" s="3" t="str" cm="1">
        <f t="array" ref="A56">INDEX(Tencent!$A$2:$A$173,ROWS(Tencent!$A$2:$A$173)-ROW(A55)+1)</f>
        <v>12/01/2016</v>
      </c>
      <c r="B56" s="4">
        <f>(Apple!D56-Apple!E56)/Apple!E56</f>
        <v>0.19660226515656243</v>
      </c>
      <c r="C56" s="4">
        <f>(Microsoft!D56-Microsoft!E56)/Microsoft!E56</f>
        <v>0.17018518518518513</v>
      </c>
      <c r="D56" s="4">
        <f>(Google!D56-Google!E56)/Google!E56</f>
        <v>0.14774904214559378</v>
      </c>
      <c r="E56" s="4">
        <f>(Amazon!D56-Amazon!E56)/Amazon!E56</f>
        <v>0.27895485513214063</v>
      </c>
      <c r="F56" s="4">
        <f>(NVIDIA!D56-NVIDIA!E56)/NVIDIA!E56</f>
        <v>0.4019370460048427</v>
      </c>
      <c r="G56" s="4">
        <f>('Meta(Facebook)'!D56-'Meta(Facebook)'!E56)/'Meta(Facebook)'!E56</f>
        <v>0.24394575395544082</v>
      </c>
      <c r="H56" s="4">
        <f>('Samsung 005930'!D56-'Samsung 005930'!E56)/'Samsung 005930'!E56</f>
        <v>6.4046579330422126E-2</v>
      </c>
      <c r="I56" s="4">
        <f>(Tesla!D56-Tesla!E56)/Tesla!E56</f>
        <v>0.47450497996111263</v>
      </c>
      <c r="J56" s="4">
        <f>(Intel!D56-Intel!E56)/Intel!E56</f>
        <v>0.19151350124801447</v>
      </c>
      <c r="K56" s="4">
        <f>(Tencent!D56-Tencent!E56)/Tencent!E56</f>
        <v>0.47812677254679525</v>
      </c>
    </row>
    <row r="57" spans="1:11" x14ac:dyDescent="0.5">
      <c r="A57" s="3" t="str" cm="1">
        <f t="array" ref="A57">INDEX(Tencent!$A$2:$A$173,ROWS(Tencent!$A$2:$A$173)-ROW(A56)+1)</f>
        <v>01/01/2017</v>
      </c>
      <c r="B57" s="4">
        <f>(Apple!D57-Apple!E57)/Apple!E57</f>
        <v>0.16217105263157899</v>
      </c>
      <c r="C57" s="4">
        <f>(Microsoft!D57-Microsoft!E57)/Microsoft!E57</f>
        <v>0.16057748968768423</v>
      </c>
      <c r="D57" s="4">
        <f>(Google!D57-Google!E57)/Google!E57</f>
        <v>0.21288515406162473</v>
      </c>
      <c r="E57" s="4">
        <f>(Amazon!D57-Amazon!E57)/Amazon!E57</f>
        <v>0.18434179136846671</v>
      </c>
      <c r="F57" s="4">
        <f>(NVIDIA!D57-NVIDIA!E57)/NVIDIA!E57</f>
        <v>0.28865485878410729</v>
      </c>
      <c r="G57" s="4">
        <f>('Meta(Facebook)'!D57-'Meta(Facebook)'!E57)/'Meta(Facebook)'!E57</f>
        <v>0.72431920933655769</v>
      </c>
      <c r="H57" s="4">
        <f>('Samsung 005930'!D57-'Samsung 005930'!E57)/'Samsung 005930'!E57</f>
        <v>6.7605633802816895E-2</v>
      </c>
      <c r="I57" s="4">
        <f>(Tesla!D57-Tesla!E57)/Tesla!E57</f>
        <v>0.3539621994599923</v>
      </c>
      <c r="J57" s="4">
        <f>(Intel!D57-Intel!E57)/Intel!E57</f>
        <v>0.14557542411737739</v>
      </c>
      <c r="K57" s="4">
        <f>(Tencent!D57-Tencent!E57)/Tencent!E57</f>
        <v>0.17759597550750791</v>
      </c>
    </row>
    <row r="58" spans="1:11" x14ac:dyDescent="0.5">
      <c r="A58" s="3" t="str" cm="1">
        <f t="array" ref="A58">INDEX(Tencent!$A$2:$A$173,ROWS(Tencent!$A$2:$A$173)-ROW(A57)+1)</f>
        <v>02/01/2017</v>
      </c>
      <c r="B58" s="4">
        <f>(Apple!D58-Apple!E58)/Apple!E58</f>
        <v>0.18254686489980615</v>
      </c>
      <c r="C58" s="4">
        <f>(Microsoft!D58-Microsoft!E58)/Microsoft!E58</f>
        <v>0.22441586669081684</v>
      </c>
      <c r="D58" s="4">
        <f>(Google!D58-Google!E58)/Google!E58</f>
        <v>0.17654618473895575</v>
      </c>
      <c r="E58" s="4">
        <f>(Amazon!D58-Amazon!E58)/Amazon!E58</f>
        <v>0.26634650905060964</v>
      </c>
      <c r="F58" s="4">
        <f>(NVIDIA!D58-NVIDIA!E58)/NVIDIA!E58</f>
        <v>0.47008137865007182</v>
      </c>
      <c r="G58" s="4">
        <f>('Meta(Facebook)'!D58-'Meta(Facebook)'!E58)/'Meta(Facebook)'!E58</f>
        <v>0.18712155288744328</v>
      </c>
      <c r="H58" s="4">
        <f>('Samsung 005930'!D58-'Samsung 005930'!E58)/'Samsung 005930'!E58</f>
        <v>0.12078651685393259</v>
      </c>
      <c r="I58" s="4">
        <f>(Tesla!D58-Tesla!E58)/Tesla!E58</f>
        <v>0.52526515151515163</v>
      </c>
      <c r="J58" s="4">
        <f>(Intel!D58-Intel!E58)/Intel!E58</f>
        <v>0.21555075593952494</v>
      </c>
      <c r="K58" s="4">
        <f>(Tencent!D58-Tencent!E58)/Tencent!E58</f>
        <v>0.17075496006183968</v>
      </c>
    </row>
    <row r="59" spans="1:11" x14ac:dyDescent="0.5">
      <c r="A59" s="3" t="str" cm="1">
        <f t="array" ref="A59">INDEX(Tencent!$A$2:$A$173,ROWS(Tencent!$A$2:$A$173)-ROW(A58)+1)</f>
        <v>03/01/2017</v>
      </c>
      <c r="B59" s="4">
        <f>(Apple!D59-Apple!E59)/Apple!E59</f>
        <v>0.15418250950570331</v>
      </c>
      <c r="C59" s="4">
        <f>(Microsoft!D59-Microsoft!E59)/Microsoft!E59</f>
        <v>8.5263987391647006E-2</v>
      </c>
      <c r="D59" s="4">
        <f>(Google!D59-Google!E59)/Google!E59</f>
        <v>7.0198105081826029E-2</v>
      </c>
      <c r="E59" s="4">
        <f>(Amazon!D59-Amazon!E59)/Amazon!E59</f>
        <v>7.7421307506053402E-2</v>
      </c>
      <c r="F59" s="4">
        <f>(NVIDIA!D59-NVIDIA!E59)/NVIDIA!E59</f>
        <v>0.22615101289134443</v>
      </c>
      <c r="G59" s="4">
        <f>('Meta(Facebook)'!D59-'Meta(Facebook)'!E59)/'Meta(Facebook)'!E59</f>
        <v>0.17766277128547572</v>
      </c>
      <c r="H59" s="4">
        <f>('Samsung 005930'!D59-'Samsung 005930'!E59)/'Samsung 005930'!E59</f>
        <v>0.12849162011173185</v>
      </c>
      <c r="I59" s="4">
        <f>(Tesla!D59-Tesla!E59)/Tesla!E59</f>
        <v>0.32359413616819577</v>
      </c>
      <c r="J59" s="4">
        <f>(Intel!D59-Intel!E59)/Intel!E59</f>
        <v>0.13800951789778609</v>
      </c>
      <c r="K59" s="4">
        <f>(Tencent!D59-Tencent!E59)/Tencent!E59</f>
        <v>0.12119449782542734</v>
      </c>
    </row>
    <row r="60" spans="1:11" x14ac:dyDescent="0.5">
      <c r="A60" s="3" t="str" cm="1">
        <f t="array" ref="A60">INDEX(Tencent!$A$2:$A$173,ROWS(Tencent!$A$2:$A$173)-ROW(A59)+1)</f>
        <v>04/01/2017</v>
      </c>
      <c r="B60" s="4">
        <f>(Apple!D60-Apple!E60)/Apple!E60</f>
        <v>0.12354217521019799</v>
      </c>
      <c r="C60" s="4">
        <f>(Microsoft!D60-Microsoft!E60)/Microsoft!E60</f>
        <v>7.1391365627968287E-2</v>
      </c>
      <c r="D60" s="4">
        <f>(Google!D60-Google!E60)/Google!E60</f>
        <v>6.6172316384180821E-2</v>
      </c>
      <c r="E60" s="4">
        <f>(Amazon!D60-Amazon!E60)/Amazon!E60</f>
        <v>0.14575465952003902</v>
      </c>
      <c r="F60" s="4">
        <f>(NVIDIA!D60-NVIDIA!E60)/NVIDIA!E60</f>
        <v>0.37336504161712242</v>
      </c>
      <c r="G60" s="4">
        <f>('Meta(Facebook)'!D60-'Meta(Facebook)'!E60)/'Meta(Facebook)'!E60</f>
        <v>9.4771039603960383E-2</v>
      </c>
      <c r="H60" s="4">
        <f>('Samsung 005930'!D60-'Samsung 005930'!E60)/'Samsung 005930'!E60</f>
        <v>9.4827586206896547E-2</v>
      </c>
      <c r="I60" s="4">
        <f>(Tesla!D60-Tesla!E60)/Tesla!E60</f>
        <v>0.27069282648681797</v>
      </c>
      <c r="J60" s="4">
        <f>(Intel!D60-Intel!E60)/Intel!E60</f>
        <v>8.0423940149626033E-2</v>
      </c>
      <c r="K60" s="4">
        <f>(Tencent!D60-Tencent!E60)/Tencent!E60</f>
        <v>0.13362808339977289</v>
      </c>
    </row>
    <row r="61" spans="1:11" x14ac:dyDescent="0.5">
      <c r="A61" s="3" t="str" cm="1">
        <f t="array" ref="A61">INDEX(Tencent!$A$2:$A$173,ROWS(Tencent!$A$2:$A$173)-ROW(A60)+1)</f>
        <v>05/01/2017</v>
      </c>
      <c r="B61" s="4">
        <f>(Apple!D61-Apple!E61)/Apple!E61</f>
        <v>0.10768785709119827</v>
      </c>
      <c r="C61" s="4">
        <f>(Microsoft!D61-Microsoft!E61)/Microsoft!E61</f>
        <v>0.18465655664585193</v>
      </c>
      <c r="D61" s="4">
        <f>(Google!D61-Google!E61)/Google!E61</f>
        <v>0.13429988553987021</v>
      </c>
      <c r="E61" s="4">
        <f>(Amazon!D61-Amazon!E61)/Amazon!E61</f>
        <v>9.5334046974371797E-2</v>
      </c>
      <c r="F61" s="4">
        <f>(NVIDIA!D61-NVIDIA!E61)/NVIDIA!E61</f>
        <v>0.31441717791411056</v>
      </c>
      <c r="G61" s="4">
        <f>('Meta(Facebook)'!D61-'Meta(Facebook)'!E61)/'Meta(Facebook)'!E61</f>
        <v>0.11979487845250063</v>
      </c>
      <c r="H61" s="4">
        <f>('Samsung 005930'!D61-'Samsung 005930'!E61)/'Samsung 005930'!E61</f>
        <v>8.3455344070278187E-2</v>
      </c>
      <c r="I61" s="4">
        <f>(Tesla!D61-Tesla!E61)/Tesla!E61</f>
        <v>0.46049581581738896</v>
      </c>
      <c r="J61" s="4">
        <f>(Intel!D61-Intel!E61)/Intel!E61</f>
        <v>0.17129726342176735</v>
      </c>
      <c r="K61" s="4">
        <f>(Tencent!D61-Tencent!E61)/Tencent!E61</f>
        <v>0.15628729389415236</v>
      </c>
    </row>
    <row r="62" spans="1:11" x14ac:dyDescent="0.5">
      <c r="A62" s="3" t="str" cm="1">
        <f t="array" ref="A62">INDEX(Tencent!$A$2:$A$173,ROWS(Tencent!$A$2:$A$173)-ROW(A61)+1)</f>
        <v>06/01/2017</v>
      </c>
      <c r="B62" s="4">
        <f>(Apple!D62-Apple!E62)/Apple!E62</f>
        <v>0.11318751327245685</v>
      </c>
      <c r="C62" s="4">
        <f>(Microsoft!D62-Microsoft!E62)/Microsoft!E62</f>
        <v>8.4155954832753316E-2</v>
      </c>
      <c r="D62" s="4">
        <f>(Google!D62-Google!E62)/Google!E62</f>
        <v>9.5013477088948764E-2</v>
      </c>
      <c r="E62" s="4">
        <f>(Amazon!D62-Amazon!E62)/Amazon!E62</f>
        <v>8.4300549786194334E-2</v>
      </c>
      <c r="F62" s="4">
        <f>(NVIDIA!D62-NVIDIA!E62)/NVIDIA!E62</f>
        <v>0.12310698583292622</v>
      </c>
      <c r="G62" s="4">
        <f>('Meta(Facebook)'!D62-'Meta(Facebook)'!E62)/'Meta(Facebook)'!E62</f>
        <v>0.13656661245009613</v>
      </c>
      <c r="H62" s="4">
        <f>('Samsung 005930'!D62-'Samsung 005930'!E62)/'Samsung 005930'!E62</f>
        <v>5.563093622795115E-2</v>
      </c>
      <c r="I62" s="4">
        <f>(Tesla!D62-Tesla!E62)/Tesla!E62</f>
        <v>0.12717961740308101</v>
      </c>
      <c r="J62" s="4">
        <f>(Intel!D62-Intel!E62)/Intel!E62</f>
        <v>6.0397553516819504E-2</v>
      </c>
      <c r="K62" s="4">
        <f>(Tencent!D62-Tencent!E62)/Tencent!E62</f>
        <v>0.19357759992167814</v>
      </c>
    </row>
    <row r="63" spans="1:11" x14ac:dyDescent="0.5">
      <c r="A63" s="3" t="str" cm="1">
        <f t="array" ref="A63">INDEX(Tencent!$A$2:$A$173,ROWS(Tencent!$A$2:$A$173)-ROW(A62)+1)</f>
        <v>07/01/2017</v>
      </c>
      <c r="B63" s="4">
        <f>(Apple!D63-Apple!E63)/Apple!E63</f>
        <v>6.2214532871972379E-2</v>
      </c>
      <c r="C63" s="4">
        <f>(Microsoft!D63-Microsoft!E63)/Microsoft!E63</f>
        <v>7.7888207513921073E-2</v>
      </c>
      <c r="D63" s="4">
        <f>(Google!D63-Google!E63)/Google!E63</f>
        <v>9.4884488448844936E-2</v>
      </c>
      <c r="E63" s="4">
        <f>(Amazon!D63-Amazon!E63)/Amazon!E63</f>
        <v>9.3456766798916832E-2</v>
      </c>
      <c r="F63" s="4">
        <f>(NVIDIA!D63-NVIDIA!E63)/NVIDIA!E63</f>
        <v>0.22814498933901906</v>
      </c>
      <c r="G63" s="4">
        <f>('Meta(Facebook)'!D63-'Meta(Facebook)'!E63)/'Meta(Facebook)'!E63</f>
        <v>0.1008340523439747</v>
      </c>
      <c r="H63" s="4">
        <f>('Samsung 005930'!D63-'Samsung 005930'!E63)/'Samsung 005930'!E63</f>
        <v>0.1489655172413793</v>
      </c>
      <c r="I63" s="4">
        <f>(Tesla!D63-Tesla!E63)/Tesla!E63</f>
        <v>0.14111337155539119</v>
      </c>
      <c r="J63" s="4">
        <f>(Intel!D63-Intel!E63)/Intel!E63</f>
        <v>6.7094515752625358E-2</v>
      </c>
      <c r="K63" s="4">
        <f>(Tencent!D63-Tencent!E63)/Tencent!E63</f>
        <v>0.1960314745124872</v>
      </c>
    </row>
    <row r="64" spans="1:11" x14ac:dyDescent="0.5">
      <c r="A64" s="3" t="str" cm="1">
        <f t="array" ref="A64">INDEX(Tencent!$A$2:$A$173,ROWS(Tencent!$A$2:$A$173)-ROW(A63)+1)</f>
        <v>08/01/2017</v>
      </c>
      <c r="B64" s="4">
        <f>(Apple!D64-Apple!E64)/Apple!E64</f>
        <v>0.1048909840895699</v>
      </c>
      <c r="C64" s="4">
        <f>(Microsoft!D64-Microsoft!E64)/Microsoft!E64</f>
        <v>7.6224035608308427E-2</v>
      </c>
      <c r="D64" s="4">
        <f>(Google!D64-Google!E64)/Google!E64</f>
        <v>0.13799061960009881</v>
      </c>
      <c r="E64" s="4">
        <f>(Amazon!D64-Amazon!E64)/Amazon!E64</f>
        <v>0.14091321439371038</v>
      </c>
      <c r="F64" s="4">
        <f>(NVIDIA!D64-NVIDIA!E64)/NVIDIA!E64</f>
        <v>0.16843872411863448</v>
      </c>
      <c r="G64" s="4">
        <f>('Meta(Facebook)'!D64-'Meta(Facebook)'!E64)/'Meta(Facebook)'!E64</f>
        <v>0.12869955156950677</v>
      </c>
      <c r="H64" s="4">
        <f>('Samsung 005930'!D64-'Samsung 005930'!E64)/'Samsung 005930'!E64</f>
        <v>4.0973111395646605E-2</v>
      </c>
      <c r="I64" s="4">
        <f>(Tesla!D64-Tesla!E64)/Tesla!E64</f>
        <v>0.12817909293105126</v>
      </c>
      <c r="J64" s="4">
        <f>(Intel!D64-Intel!E64)/Intel!E64</f>
        <v>9.8260370865991209E-2</v>
      </c>
      <c r="K64" s="4">
        <f>(Tencent!D64-Tencent!E64)/Tencent!E64</f>
        <v>0.41825613079019086</v>
      </c>
    </row>
    <row r="65" spans="1:11" x14ac:dyDescent="0.5">
      <c r="A65" s="3" t="str" cm="1">
        <f t="array" ref="A65">INDEX(Tencent!$A$2:$A$173,ROWS(Tencent!$A$2:$A$173)-ROW(A64)+1)</f>
        <v>09/01/2017</v>
      </c>
      <c r="B65" s="4">
        <f>(Apple!D65-Apple!E65)/Apple!E65</f>
        <v>0.11597498578737921</v>
      </c>
      <c r="C65" s="4">
        <f>(Microsoft!D65-Microsoft!E65)/Microsoft!E65</f>
        <v>0.11790123456790114</v>
      </c>
      <c r="D65" s="4">
        <f>(Google!D65-Google!E65)/Google!E65</f>
        <v>5.6833791208791125E-2</v>
      </c>
      <c r="E65" s="4">
        <f>(Amazon!D65-Amazon!E65)/Amazon!E65</f>
        <v>0.11115314292919737</v>
      </c>
      <c r="F65" s="4">
        <f>(NVIDIA!D65-NVIDIA!E65)/NVIDIA!E65</f>
        <v>0.26792452830188679</v>
      </c>
      <c r="G65" s="4">
        <f>('Meta(Facebook)'!D65-'Meta(Facebook)'!E65)/'Meta(Facebook)'!E65</f>
        <v>0.1071472734017558</v>
      </c>
      <c r="H65" s="4">
        <f>('Samsung 005930'!D65-'Samsung 005930'!E65)/'Samsung 005930'!E65</f>
        <v>4.2713567839195977E-2</v>
      </c>
      <c r="I65" s="4">
        <f>(Tesla!D65-Tesla!E65)/Tesla!E65</f>
        <v>0.2212593876372039</v>
      </c>
      <c r="J65" s="4">
        <f>(Intel!D65-Intel!E65)/Intel!E65</f>
        <v>6.0072595281306623E-2</v>
      </c>
      <c r="K65" s="4">
        <f>(Tencent!D65-Tencent!E65)/Tencent!E65</f>
        <v>0.11986561384860674</v>
      </c>
    </row>
    <row r="66" spans="1:11" x14ac:dyDescent="0.5">
      <c r="A66" s="3" t="str" cm="1">
        <f t="array" ref="A66">INDEX(Tencent!$A$2:$A$173,ROWS(Tencent!$A$2:$A$173)-ROW(A65)+1)</f>
        <v>10/01/2017</v>
      </c>
      <c r="B66" s="4">
        <f>(Apple!D66-Apple!E66)/Apple!E66</f>
        <v>9.6687116564417128E-2</v>
      </c>
      <c r="C66" s="4">
        <f>(Microsoft!D66-Microsoft!E66)/Microsoft!E66</f>
        <v>6.8383248624354187E-2</v>
      </c>
      <c r="D66" s="4">
        <f>(Google!D66-Google!E66)/Google!E66</f>
        <v>8.9077315827862838E-2</v>
      </c>
      <c r="E66" s="4">
        <f>(Amazon!D66-Amazon!E66)/Amazon!E66</f>
        <v>0.11485579075270197</v>
      </c>
      <c r="F66" s="4">
        <f>(NVIDIA!D66-NVIDIA!E66)/NVIDIA!E66</f>
        <v>0.20950965824665677</v>
      </c>
      <c r="G66" s="4">
        <f>('Meta(Facebook)'!D66-'Meta(Facebook)'!E66)/'Meta(Facebook)'!E66</f>
        <v>0.11935343237533108</v>
      </c>
      <c r="H66" s="4">
        <f>('Samsung 005930'!D66-'Samsung 005930'!E66)/'Samsung 005930'!E66</f>
        <v>6.5051020408163268E-2</v>
      </c>
      <c r="I66" s="4">
        <f>(Tesla!D66-Tesla!E66)/Tesla!E66</f>
        <v>0.29068173092743926</v>
      </c>
      <c r="J66" s="4">
        <f>(Intel!D66-Intel!E66)/Intel!E66</f>
        <v>8.5922875327592588E-2</v>
      </c>
      <c r="K66" s="4">
        <f>(Tencent!D66-Tencent!E66)/Tencent!E66</f>
        <v>0.10326867472186574</v>
      </c>
    </row>
    <row r="67" spans="1:11" x14ac:dyDescent="0.5">
      <c r="A67" s="3" t="str" cm="1">
        <f t="array" ref="A67">INDEX(Tencent!$A$2:$A$173,ROWS(Tencent!$A$2:$A$173)-ROW(A66)+1)</f>
        <v>11/01/2017</v>
      </c>
      <c r="B67" s="4">
        <f>(Apple!D67-Apple!E67)/Apple!E67</f>
        <v>0.11903012490815576</v>
      </c>
      <c r="C67" s="4">
        <f>(Microsoft!D67-Microsoft!E67)/Microsoft!E67</f>
        <v>0.1056080655324511</v>
      </c>
      <c r="D67" s="4">
        <f>(Google!D67-Google!E67)/Google!E67</f>
        <v>0.16257052691976667</v>
      </c>
      <c r="E67" s="4">
        <f>(Amazon!D67-Amazon!E67)/Amazon!E67</f>
        <v>0.14071125946848112</v>
      </c>
      <c r="F67" s="4">
        <f>(NVIDIA!D67-NVIDIA!E67)/NVIDIA!E67</f>
        <v>0.19985196150999268</v>
      </c>
      <c r="G67" s="4">
        <f>('Meta(Facebook)'!D67-'Meta(Facebook)'!E67)/'Meta(Facebook)'!E67</f>
        <v>0.1208282664504796</v>
      </c>
      <c r="H67" s="4">
        <f>('Samsung 005930'!D67-'Samsung 005930'!E67)/'Samsung 005930'!E67</f>
        <v>5.7668711656441718E-2</v>
      </c>
      <c r="I67" s="4">
        <f>(Tesla!D67-Tesla!E67)/Tesla!E67</f>
        <v>0.18402256494245026</v>
      </c>
      <c r="J67" s="4">
        <f>(Intel!D67-Intel!E67)/Intel!E67</f>
        <v>0.20010513404590843</v>
      </c>
      <c r="K67" s="4">
        <f>(Tencent!D67-Tencent!E67)/Tencent!E67</f>
        <v>9.1206735266604388E-2</v>
      </c>
    </row>
    <row r="68" spans="1:11" x14ac:dyDescent="0.5">
      <c r="A68" s="3" t="str" cm="1">
        <f t="array" ref="A68">INDEX(Tencent!$A$2:$A$173,ROWS(Tencent!$A$2:$A$173)-ROW(A67)+1)</f>
        <v>12/01/2017</v>
      </c>
      <c r="B68" s="4">
        <f>(Apple!D68-Apple!E68)/Apple!E68</f>
        <v>0.10764994406677572</v>
      </c>
      <c r="C68" s="4">
        <f>(Microsoft!D68-Microsoft!E68)/Microsoft!E68</f>
        <v>7.4868456256131366E-2</v>
      </c>
      <c r="D68" s="4">
        <f>(Google!D68-Google!E68)/Google!E68</f>
        <v>6.0080240722166445E-2</v>
      </c>
      <c r="E68" s="4">
        <f>(Amazon!D68-Amazon!E68)/Amazon!E68</f>
        <v>0.10447761194029838</v>
      </c>
      <c r="F68" s="4">
        <f>(NVIDIA!D68-NVIDIA!E68)/NVIDIA!E68</f>
        <v>0.20397579948141739</v>
      </c>
      <c r="G68" s="4">
        <f>('Meta(Facebook)'!D68-'Meta(Facebook)'!E68)/'Meta(Facebook)'!E68</f>
        <v>0.18224852071005912</v>
      </c>
      <c r="H68" s="4">
        <f>('Samsung 005930'!D68-'Samsung 005930'!E68)/'Samsung 005930'!E68</f>
        <v>5.8312655086848637E-2</v>
      </c>
      <c r="I68" s="4">
        <f>(Tesla!D68-Tesla!E68)/Tesla!E68</f>
        <v>0.33665128176611236</v>
      </c>
      <c r="J68" s="4">
        <f>(Intel!D68-Intel!E68)/Intel!E68</f>
        <v>0.16456570540493873</v>
      </c>
      <c r="K68" s="4">
        <f>(Tencent!D68-Tencent!E68)/Tencent!E68</f>
        <v>0.22854878251092148</v>
      </c>
    </row>
    <row r="69" spans="1:11" x14ac:dyDescent="0.5">
      <c r="A69" s="3" t="str" cm="1">
        <f t="array" ref="A69">INDEX(Tencent!$A$2:$A$173,ROWS(Tencent!$A$2:$A$173)-ROW(A68)+1)</f>
        <v>01/01/2018</v>
      </c>
      <c r="B69" s="4">
        <f>(Apple!D69-Apple!E69)/Apple!E69</f>
        <v>0.16462539065799472</v>
      </c>
      <c r="C69" s="4">
        <f>(Microsoft!D69-Microsoft!E69)/Microsoft!E69</f>
        <v>8.0086010180796918E-2</v>
      </c>
      <c r="D69" s="4">
        <f>(Google!D69-Google!E69)/Google!E69</f>
        <v>0.1629621598178467</v>
      </c>
      <c r="E69" s="4">
        <f>(Amazon!D69-Amazon!E69)/Amazon!E69</f>
        <v>0.13079557428872488</v>
      </c>
      <c r="F69" s="4">
        <f>(NVIDIA!D69-NVIDIA!E69)/NVIDIA!E69</f>
        <v>0.19147286821705417</v>
      </c>
      <c r="G69" s="4">
        <f>('Meta(Facebook)'!D69-'Meta(Facebook)'!E69)/'Meta(Facebook)'!E69</f>
        <v>8.8804912612187176E-2</v>
      </c>
      <c r="H69" s="4">
        <f>('Samsung 005930'!D69-'Samsung 005930'!E69)/'Samsung 005930'!E69</f>
        <v>6.6666666666666666E-2</v>
      </c>
      <c r="I69" s="4">
        <f>(Tesla!D69-Tesla!E69)/Tesla!E69</f>
        <v>0.42247855377308186</v>
      </c>
      <c r="J69" s="4">
        <f>(Intel!D69-Intel!E69)/Intel!E69</f>
        <v>0.14054927302100159</v>
      </c>
      <c r="K69" s="4">
        <f>(Tencent!D69-Tencent!E69)/Tencent!E69</f>
        <v>0.17056637139161324</v>
      </c>
    </row>
    <row r="70" spans="1:11" x14ac:dyDescent="0.5">
      <c r="A70" s="3" t="str" cm="1">
        <f t="array" ref="A70">INDEX(Tencent!$A$2:$A$173,ROWS(Tencent!$A$2:$A$173)-ROW(A69)+1)</f>
        <v>02/01/2018</v>
      </c>
      <c r="B70" s="4">
        <f>(Apple!D70-Apple!E70)/Apple!E70</f>
        <v>0.14804557683177724</v>
      </c>
      <c r="C70" s="4">
        <f>(Microsoft!D70-Microsoft!E70)/Microsoft!E70</f>
        <v>0.14485231669340373</v>
      </c>
      <c r="D70" s="4">
        <f>(Google!D70-Google!E70)/Google!E70</f>
        <v>0.13901662539794826</v>
      </c>
      <c r="E70" s="4">
        <f>(Amazon!D70-Amazon!E70)/Amazon!E70</f>
        <v>9.0019442644199518E-2</v>
      </c>
      <c r="F70" s="4">
        <f>(NVIDIA!D70-NVIDIA!E70)/NVIDIA!E70</f>
        <v>0.11199364575059573</v>
      </c>
      <c r="G70" s="4">
        <f>('Meta(Facebook)'!D70-'Meta(Facebook)'!E70)/'Meta(Facebook)'!E70</f>
        <v>0.17243775806385678</v>
      </c>
      <c r="H70" s="4">
        <f>('Samsung 005930'!D70-'Samsung 005930'!E70)/'Samsung 005930'!E70</f>
        <v>0.20698254364089774</v>
      </c>
      <c r="I70" s="4">
        <f>(Tesla!D70-Tesla!E70)/Tesla!E70</f>
        <v>0.25545888061574495</v>
      </c>
      <c r="J70" s="4">
        <f>(Intel!D70-Intel!E70)/Intel!E70</f>
        <v>0.29637137644435446</v>
      </c>
      <c r="K70" s="4">
        <f>(Tencent!D70-Tencent!E70)/Tencent!E70</f>
        <v>0.37668554083240918</v>
      </c>
    </row>
    <row r="71" spans="1:11" x14ac:dyDescent="0.5">
      <c r="A71" s="3" t="str" cm="1">
        <f t="array" ref="A71">INDEX(Tencent!$A$2:$A$173,ROWS(Tencent!$A$2:$A$173)-ROW(A70)+1)</f>
        <v>03/01/2018</v>
      </c>
      <c r="B71" s="4">
        <f>(Apple!D71-Apple!E71)/Apple!E71</f>
        <v>0.15648695942004823</v>
      </c>
      <c r="C71" s="4">
        <f>(Microsoft!D71-Microsoft!E71)/Microsoft!E71</f>
        <v>8.6413849170293114E-2</v>
      </c>
      <c r="D71" s="4">
        <f>(Google!D71-Google!E71)/Google!E71</f>
        <v>8.8429752066115641E-2</v>
      </c>
      <c r="E71" s="4">
        <f>(Amazon!D71-Amazon!E71)/Amazon!E71</f>
        <v>9.0406144233272687E-2</v>
      </c>
      <c r="F71" s="4">
        <f>(NVIDIA!D71-NVIDIA!E71)/NVIDIA!E71</f>
        <v>7.6018808777429517E-2</v>
      </c>
      <c r="G71" s="4">
        <f>('Meta(Facebook)'!D71-'Meta(Facebook)'!E71)/'Meta(Facebook)'!E71</f>
        <v>0.10259607754222869</v>
      </c>
      <c r="H71" s="4">
        <f>('Samsung 005930'!D71-'Samsung 005930'!E71)/'Samsung 005930'!E71</f>
        <v>0.21162444113263784</v>
      </c>
      <c r="I71" s="4">
        <f>(Tesla!D71-Tesla!E71)/Tesla!E71</f>
        <v>0.32799334811529923</v>
      </c>
      <c r="J71" s="4">
        <f>(Intel!D71-Intel!E71)/Intel!E71</f>
        <v>0.16379310344827577</v>
      </c>
      <c r="K71" s="4">
        <f>(Tencent!D71-Tencent!E71)/Tencent!E71</f>
        <v>0.14258841234010527</v>
      </c>
    </row>
    <row r="72" spans="1:11" x14ac:dyDescent="0.5">
      <c r="A72" s="3" t="str" cm="1">
        <f t="array" ref="A72">INDEX(Tencent!$A$2:$A$173,ROWS(Tencent!$A$2:$A$173)-ROW(A71)+1)</f>
        <v>04/01/2018</v>
      </c>
      <c r="B72" s="4">
        <f>(Apple!D72-Apple!E72)/Apple!E72</f>
        <v>0.1366939992545658</v>
      </c>
      <c r="C72" s="4">
        <f>(Microsoft!D72-Microsoft!E72)/Microsoft!E72</f>
        <v>0.13991605036977814</v>
      </c>
      <c r="D72" s="4">
        <f>(Google!D72-Google!E72)/Google!E72</f>
        <v>0.12690733159657616</v>
      </c>
      <c r="E72" s="4">
        <f>(Amazon!D72-Amazon!E72)/Amazon!E72</f>
        <v>0.1412107653718393</v>
      </c>
      <c r="F72" s="4">
        <f>(NVIDIA!D72-NVIDIA!E72)/NVIDIA!E72</f>
        <v>0.18467741935483864</v>
      </c>
      <c r="G72" s="4">
        <f>('Meta(Facebook)'!D72-'Meta(Facebook)'!E72)/'Meta(Facebook)'!E72</f>
        <v>0.15559182404600927</v>
      </c>
      <c r="H72" s="4">
        <f>('Samsung 005930'!D72-'Samsung 005930'!E72)/'Samsung 005930'!E72</f>
        <v>0.24107142857142858</v>
      </c>
      <c r="I72" s="4">
        <f>(Tesla!D72-Tesla!E72)/Tesla!E72</f>
        <v>0.54928500420585746</v>
      </c>
      <c r="J72" s="4">
        <f>(Intel!D72-Intel!E72)/Intel!E72</f>
        <v>9.6292947558770298E-2</v>
      </c>
      <c r="K72" s="4">
        <f>(Tencent!D72-Tencent!E72)/Tencent!E72</f>
        <v>0.14881678938457293</v>
      </c>
    </row>
    <row r="73" spans="1:11" x14ac:dyDescent="0.5">
      <c r="A73" s="3" t="str" cm="1">
        <f t="array" ref="A73">INDEX(Tencent!$A$2:$A$173,ROWS(Tencent!$A$2:$A$173)-ROW(A72)+1)</f>
        <v>05/01/2018</v>
      </c>
      <c r="B73" s="4">
        <f>(Apple!D73-Apple!E73)/Apple!E73</f>
        <v>0.16403639064240624</v>
      </c>
      <c r="C73" s="4">
        <f>(Microsoft!D73-Microsoft!E73)/Microsoft!E73</f>
        <v>0.12819356777877969</v>
      </c>
      <c r="D73" s="4">
        <f>(Google!D73-Google!E73)/Google!E73</f>
        <v>0.17317890036282441</v>
      </c>
      <c r="E73" s="4">
        <f>(Amazon!D73-Amazon!E73)/Amazon!E73</f>
        <v>0.15806558463067252</v>
      </c>
      <c r="F73" s="4">
        <f>(NVIDIA!D73-NVIDIA!E73)/NVIDIA!E73</f>
        <v>0.16666666666666657</v>
      </c>
      <c r="G73" s="4">
        <f>('Meta(Facebook)'!D73-'Meta(Facebook)'!E73)/'Meta(Facebook)'!E73</f>
        <v>0.11937838474217101</v>
      </c>
      <c r="H73" s="4">
        <f>('Samsung 005930'!D73-'Samsung 005930'!E73)/'Samsung 005930'!E73</f>
        <v>8.6572438162544174E-2</v>
      </c>
      <c r="I73" s="4">
        <f>(Tesla!D73-Tesla!E73)/Tesla!E73</f>
        <v>0.22893091714805733</v>
      </c>
      <c r="J73" s="4">
        <f>(Intel!D73-Intel!E73)/Intel!E73</f>
        <v>0.2893831689979362</v>
      </c>
      <c r="K73" s="4">
        <f>(Tencent!D73-Tencent!E73)/Tencent!E73</f>
        <v>0.17736869474778988</v>
      </c>
    </row>
    <row r="74" spans="1:11" x14ac:dyDescent="0.5">
      <c r="A74" s="3" t="str" cm="1">
        <f t="array" ref="A74">INDEX(Tencent!$A$2:$A$173,ROWS(Tencent!$A$2:$A$173)-ROW(A73)+1)</f>
        <v>06/01/2018</v>
      </c>
      <c r="B74" s="4">
        <f>(Apple!D74-Apple!E74)/Apple!E74</f>
        <v>0.33831231813773033</v>
      </c>
      <c r="C74" s="4">
        <f>(Microsoft!D74-Microsoft!E74)/Microsoft!E74</f>
        <v>0.18654777070063702</v>
      </c>
      <c r="D74" s="4">
        <f>(Google!D74-Google!E74)/Google!E74</f>
        <v>0.23106546854942239</v>
      </c>
      <c r="E74" s="4">
        <f>(Amazon!D74-Amazon!E74)/Amazon!E74</f>
        <v>0.2372692441657959</v>
      </c>
      <c r="F74" s="4">
        <f>(NVIDIA!D74-NVIDIA!E74)/NVIDIA!E74</f>
        <v>0.25897435897435911</v>
      </c>
      <c r="G74" s="4">
        <f>('Meta(Facebook)'!D74-'Meta(Facebook)'!E74)/'Meta(Facebook)'!E74</f>
        <v>0.24359972145987804</v>
      </c>
      <c r="H74" s="4">
        <f>('Samsung 005930'!D74-'Samsung 005930'!E74)/'Samsung 005930'!E74</f>
        <v>0.13308687615526801</v>
      </c>
      <c r="I74" s="4">
        <f>(Tesla!D74-Tesla!E74)/Tesla!E74</f>
        <v>0.52328119316114963</v>
      </c>
      <c r="J74" s="4">
        <f>(Intel!D74-Intel!E74)/Intel!E74</f>
        <v>8.7980173482032173E-2</v>
      </c>
      <c r="K74" s="4">
        <f>(Tencent!D74-Tencent!E74)/Tencent!E74</f>
        <v>0.10668166381864981</v>
      </c>
    </row>
    <row r="75" spans="1:11" x14ac:dyDescent="0.5">
      <c r="A75" s="3" t="str" cm="1">
        <f t="array" ref="A75">INDEX(Tencent!$A$2:$A$173,ROWS(Tencent!$A$2:$A$173)-ROW(A74)+1)</f>
        <v>07/01/2018</v>
      </c>
      <c r="B75" s="4">
        <f>(Apple!D75-Apple!E75)/Apple!E75</f>
        <v>0.21419964778941514</v>
      </c>
      <c r="C75" s="4">
        <f>(Microsoft!D75-Microsoft!E75)/Microsoft!E75</f>
        <v>0.13788520232352083</v>
      </c>
      <c r="D75" s="4">
        <f>(Google!D75-Google!E75)/Google!E75</f>
        <v>0.12896174863387974</v>
      </c>
      <c r="E75" s="4">
        <f>(Amazon!D75-Amazon!E75)/Amazon!E75</f>
        <v>0.13732508948909855</v>
      </c>
      <c r="F75" s="4">
        <f>(NVIDIA!D75-NVIDIA!E75)/NVIDIA!E75</f>
        <v>0.26585820895522383</v>
      </c>
      <c r="G75" s="4">
        <f>('Meta(Facebook)'!D75-'Meta(Facebook)'!E75)/'Meta(Facebook)'!E75</f>
        <v>0.23133815624621107</v>
      </c>
      <c r="H75" s="4">
        <f>('Samsung 005930'!D75-'Samsung 005930'!E75)/'Samsung 005930'!E75</f>
        <v>0.10925925925925926</v>
      </c>
      <c r="I75" s="4">
        <f>(Tesla!D75-Tesla!E75)/Tesla!E75</f>
        <v>0.83197802197802206</v>
      </c>
      <c r="J75" s="4">
        <f>(Intel!D75-Intel!E75)/Intel!E75</f>
        <v>7.9664570230607898E-2</v>
      </c>
      <c r="K75" s="4">
        <f>(Tencent!D75-Tencent!E75)/Tencent!E75</f>
        <v>0.12934966766584116</v>
      </c>
    </row>
    <row r="76" spans="1:11" x14ac:dyDescent="0.5">
      <c r="A76" s="3" t="str" cm="1">
        <f t="array" ref="A76">INDEX(Tencent!$A$2:$A$173,ROWS(Tencent!$A$2:$A$173)-ROW(A75)+1)</f>
        <v>08/01/2018</v>
      </c>
      <c r="B76" s="4">
        <f>(Apple!D76-Apple!E76)/Apple!E76</f>
        <v>0.1938523670630469</v>
      </c>
      <c r="C76" s="4">
        <f>(Microsoft!D76-Microsoft!E76)/Microsoft!E76</f>
        <v>9.553946635613389E-2</v>
      </c>
      <c r="D76" s="4">
        <f>(Google!D76-Google!E76)/Google!E76</f>
        <v>0.12218922358930846</v>
      </c>
      <c r="E76" s="4">
        <f>(Amazon!D76-Amazon!E76)/Amazon!E76</f>
        <v>0.21430646332607134</v>
      </c>
      <c r="F76" s="4">
        <f>(NVIDIA!D76-NVIDIA!E76)/NVIDIA!E76</f>
        <v>0.14665249734325175</v>
      </c>
      <c r="G76" s="4">
        <f>('Meta(Facebook)'!D76-'Meta(Facebook)'!E76)/'Meta(Facebook)'!E76</f>
        <v>0.12758924636403696</v>
      </c>
      <c r="H76" s="4">
        <f>('Samsung 005930'!D76-'Samsung 005930'!E76)/'Samsung 005930'!E76</f>
        <v>0.15930902111324377</v>
      </c>
      <c r="I76" s="4">
        <f>(Tesla!D76-Tesla!E76)/Tesla!E76</f>
        <v>0.66139108704706373</v>
      </c>
      <c r="J76" s="4">
        <f>(Intel!D76-Intel!E76)/Intel!E76</f>
        <v>0.31850117096018737</v>
      </c>
      <c r="K76" s="4">
        <f>(Tencent!D76-Tencent!E76)/Tencent!E76</f>
        <v>0.12128792943561421</v>
      </c>
    </row>
    <row r="77" spans="1:11" x14ac:dyDescent="0.5">
      <c r="A77" s="3" t="str" cm="1">
        <f t="array" ref="A77">INDEX(Tencent!$A$2:$A$173,ROWS(Tencent!$A$2:$A$173)-ROW(A76)+1)</f>
        <v>09/01/2018</v>
      </c>
      <c r="B77" s="4">
        <f>(Apple!D77-Apple!E77)/Apple!E77</f>
        <v>0.17389659520807071</v>
      </c>
      <c r="C77" s="4">
        <f>(Microsoft!D77-Microsoft!E77)/Microsoft!E77</f>
        <v>0.12710228839261103</v>
      </c>
      <c r="D77" s="4">
        <f>(Google!D77-Google!E77)/Google!E77</f>
        <v>9.1891092039064926E-2</v>
      </c>
      <c r="E77" s="4">
        <f>(Amazon!D77-Amazon!E77)/Amazon!E77</f>
        <v>0.14721811915312663</v>
      </c>
      <c r="F77" s="4">
        <f>(NVIDIA!D77-NVIDIA!E77)/NVIDIA!E77</f>
        <v>0.11316397228637418</v>
      </c>
      <c r="G77" s="4">
        <f>('Meta(Facebook)'!D77-'Meta(Facebook)'!E77)/'Meta(Facebook)'!E77</f>
        <v>0.18386364733716373</v>
      </c>
      <c r="H77" s="4">
        <f>('Samsung 005930'!D77-'Samsung 005930'!E77)/'Samsung 005930'!E77</f>
        <v>0.14228456913827656</v>
      </c>
      <c r="I77" s="4">
        <f>(Tesla!D77-Tesla!E77)/Tesla!E77</f>
        <v>0.2734457323498421</v>
      </c>
      <c r="J77" s="4">
        <f>(Intel!D77-Intel!E77)/Intel!E77</f>
        <v>0.14711064129668783</v>
      </c>
      <c r="K77" s="4">
        <f>(Tencent!D77-Tencent!E77)/Tencent!E77</f>
        <v>0.20468895559465899</v>
      </c>
    </row>
    <row r="78" spans="1:11" x14ac:dyDescent="0.5">
      <c r="A78" s="3" t="str" cm="1">
        <f t="array" ref="A78">INDEX(Tencent!$A$2:$A$173,ROWS(Tencent!$A$2:$A$173)-ROW(A77)+1)</f>
        <v>10/01/2018</v>
      </c>
      <c r="B78" s="4">
        <f>(Apple!D78-Apple!E78)/Apple!E78</f>
        <v>0.13434089000839644</v>
      </c>
      <c r="C78" s="4">
        <f>(Microsoft!D78-Microsoft!E78)/Microsoft!E78</f>
        <v>7.8883774453394589E-2</v>
      </c>
      <c r="D78" s="4">
        <f>(Google!D78-Google!E78)/Google!E78</f>
        <v>0.11512345679012359</v>
      </c>
      <c r="E78" s="4">
        <f>(Amazon!D78-Amazon!E78)/Amazon!E78</f>
        <v>0.11921645098386814</v>
      </c>
      <c r="F78" s="4">
        <f>(NVIDIA!D78-NVIDIA!E78)/NVIDIA!E78</f>
        <v>0.30769230769230771</v>
      </c>
      <c r="G78" s="4">
        <f>('Meta(Facebook)'!D78-'Meta(Facebook)'!E78)/'Meta(Facebook)'!E78</f>
        <v>0.21201448983698942</v>
      </c>
      <c r="H78" s="4">
        <f>('Samsung 005930'!D78-'Samsung 005930'!E78)/'Samsung 005930'!E78</f>
        <v>8.4745762711864403E-2</v>
      </c>
      <c r="I78" s="4">
        <f>(Tesla!D78-Tesla!E78)/Tesla!E78</f>
        <v>0.23451910408432147</v>
      </c>
      <c r="J78" s="4">
        <f>(Intel!D78-Intel!E78)/Intel!E78</f>
        <v>0.14331550802139034</v>
      </c>
      <c r="K78" s="4">
        <f>(Tencent!D78-Tencent!E78)/Tencent!E78</f>
        <v>0.11750827141075007</v>
      </c>
    </row>
    <row r="79" spans="1:11" x14ac:dyDescent="0.5">
      <c r="A79" s="3" t="str" cm="1">
        <f t="array" ref="A79">INDEX(Tencent!$A$2:$A$173,ROWS(Tencent!$A$2:$A$173)-ROW(A78)+1)</f>
        <v>11/01/2018</v>
      </c>
      <c r="B79" s="4">
        <f>(Apple!D79-Apple!E79)/Apple!E79</f>
        <v>0.24312004052000674</v>
      </c>
      <c r="C79" s="4">
        <f>(Microsoft!D79-Microsoft!E79)/Microsoft!E79</f>
        <v>0.19978717744080865</v>
      </c>
      <c r="D79" s="4">
        <f>(Google!D79-Google!E79)/Google!E79</f>
        <v>0.26530232558139544</v>
      </c>
      <c r="E79" s="4">
        <f>(Amazon!D79-Amazon!E79)/Amazon!E79</f>
        <v>0.31007834003811147</v>
      </c>
      <c r="F79" s="4">
        <f>(NVIDIA!D79-NVIDIA!E79)/NVIDIA!E79</f>
        <v>0.27684563758389269</v>
      </c>
      <c r="G79" s="4">
        <f>('Meta(Facebook)'!D79-'Meta(Facebook)'!E79)/'Meta(Facebook)'!E79</f>
        <v>0.39024066830206178</v>
      </c>
      <c r="H79" s="4">
        <f>('Samsung 005930'!D79-'Samsung 005930'!E79)/'Samsung 005930'!E79</f>
        <v>0.14663726571113561</v>
      </c>
      <c r="I79" s="4">
        <f>(Tesla!D79-Tesla!E79)/Tesla!E79</f>
        <v>0.94858870967741937</v>
      </c>
      <c r="J79" s="4">
        <f>(Intel!D79-Intel!E79)/Intel!E79</f>
        <v>0.21300273330730191</v>
      </c>
      <c r="K79" s="4">
        <f>(Tencent!D79-Tencent!E79)/Tencent!E79</f>
        <v>0.13527236440478976</v>
      </c>
    </row>
    <row r="80" spans="1:11" x14ac:dyDescent="0.5">
      <c r="A80" s="3" t="str" cm="1">
        <f t="array" ref="A80">INDEX(Tencent!$A$2:$A$173,ROWS(Tencent!$A$2:$A$173)-ROW(A79)+1)</f>
        <v>12/01/2018</v>
      </c>
      <c r="B80" s="4">
        <f>(Apple!D80-Apple!E80)/Apple!E80</f>
        <v>0.4299153339604892</v>
      </c>
      <c r="C80" s="4">
        <f>(Microsoft!D80-Microsoft!E80)/Microsoft!E80</f>
        <v>0.32055538786598237</v>
      </c>
      <c r="D80" s="4">
        <f>(Google!D80-Google!E80)/Google!E80</f>
        <v>0.3959159397303727</v>
      </c>
      <c r="E80" s="4">
        <f>(Amazon!D80-Amazon!E80)/Amazon!E80</f>
        <v>0.2277982779827798</v>
      </c>
      <c r="F80" s="4">
        <f>(NVIDIA!D80-NVIDIA!E80)/NVIDIA!E80</f>
        <v>0.57522123893805321</v>
      </c>
      <c r="G80" s="4">
        <f>('Meta(Facebook)'!D80-'Meta(Facebook)'!E80)/'Meta(Facebook)'!E80</f>
        <v>0.43865791393143705</v>
      </c>
      <c r="H80" s="4">
        <f>('Samsung 005930'!D80-'Samsung 005930'!E80)/'Samsung 005930'!E80</f>
        <v>0.37115839243498816</v>
      </c>
      <c r="I80" s="4">
        <f>(Tesla!D80-Tesla!E80)/Tesla!E80</f>
        <v>1.3020967051775778</v>
      </c>
      <c r="J80" s="4">
        <f>(Intel!D80-Intel!E80)/Intel!E80</f>
        <v>0.35273894109557641</v>
      </c>
      <c r="K80" s="4">
        <f>(Tencent!D80-Tencent!E80)/Tencent!E80</f>
        <v>0.25090896961206166</v>
      </c>
    </row>
    <row r="81" spans="1:11" x14ac:dyDescent="0.5">
      <c r="A81" s="3" t="str" cm="1">
        <f t="array" ref="A81">INDEX(Tencent!$A$2:$A$173,ROWS(Tencent!$A$2:$A$173)-ROW(A80)+1)</f>
        <v>01/01/2019</v>
      </c>
      <c r="B81" s="4">
        <f>(Apple!D81-Apple!E81)/Apple!E81</f>
        <v>0.2764861912934935</v>
      </c>
      <c r="C81" s="4">
        <f>(Microsoft!D81-Microsoft!E81)/Microsoft!E81</f>
        <v>0.25460526315789467</v>
      </c>
      <c r="D81" s="4">
        <f>(Google!D81-Google!E81)/Google!E81</f>
        <v>0.20706513168270005</v>
      </c>
      <c r="E81" s="4">
        <f>(Amazon!D81-Amazon!E81)/Amazon!E81</f>
        <v>0.20693462897526496</v>
      </c>
      <c r="F81" s="4">
        <f>(NVIDIA!D81-NVIDIA!E81)/NVIDIA!E81</f>
        <v>0.34295415959252978</v>
      </c>
      <c r="G81" s="4">
        <f>('Meta(Facebook)'!D81-'Meta(Facebook)'!E81)/'Meta(Facebook)'!E81</f>
        <v>0.20316796832031681</v>
      </c>
      <c r="H81" s="4">
        <f>('Samsung 005930'!D81-'Samsung 005930'!E81)/'Samsung 005930'!E81</f>
        <v>0.14391143911439114</v>
      </c>
      <c r="I81" s="4">
        <f>(Tesla!D81-Tesla!E81)/Tesla!E81</f>
        <v>0.58449840569045841</v>
      </c>
      <c r="J81" s="4">
        <f>(Intel!D81-Intel!E81)/Intel!E81</f>
        <v>0.27033582089552244</v>
      </c>
      <c r="K81" s="4">
        <f>(Tencent!D81-Tencent!E81)/Tencent!E81</f>
        <v>0.136358300070439</v>
      </c>
    </row>
    <row r="82" spans="1:11" x14ac:dyDescent="0.5">
      <c r="A82" s="3" t="str" cm="1">
        <f t="array" ref="A82">INDEX(Tencent!$A$2:$A$173,ROWS(Tencent!$A$2:$A$173)-ROW(A81)+1)</f>
        <v>02/01/2019</v>
      </c>
      <c r="B82" s="4">
        <f>(Apple!D82-Apple!E82)/Apple!E82</f>
        <v>0.11982511272031693</v>
      </c>
      <c r="C82" s="4">
        <f>(Microsoft!D82-Microsoft!E82)/Microsoft!E82</f>
        <v>0.11206951632483561</v>
      </c>
      <c r="D82" s="4">
        <f>(Google!D82-Google!E82)/Google!E82</f>
        <v>0.11452762923351172</v>
      </c>
      <c r="E82" s="4">
        <f>(Amazon!D82-Amazon!E82)/Amazon!E82</f>
        <v>0.13242260658807989</v>
      </c>
      <c r="F82" s="4">
        <f>(NVIDIA!D82-NVIDIA!E82)/NVIDIA!E82</f>
        <v>0.12283737024221453</v>
      </c>
      <c r="G82" s="4">
        <f>('Meta(Facebook)'!D82-'Meta(Facebook)'!E82)/'Meta(Facebook)'!E82</f>
        <v>0.11509002287874259</v>
      </c>
      <c r="H82" s="4">
        <f>('Samsung 005930'!D82-'Samsung 005930'!E82)/'Samsung 005930'!E82</f>
        <v>0.15018315018315018</v>
      </c>
      <c r="I82" s="4">
        <f>(Tesla!D82-Tesla!E82)/Tesla!E82</f>
        <v>0.5485592315901815</v>
      </c>
      <c r="J82" s="4">
        <f>(Intel!D82-Intel!E82)/Intel!E82</f>
        <v>0.18403964456596039</v>
      </c>
      <c r="K82" s="4">
        <f>(Tencent!D82-Tencent!E82)/Tencent!E82</f>
        <v>0.11562692296422199</v>
      </c>
    </row>
    <row r="83" spans="1:11" x14ac:dyDescent="0.5">
      <c r="A83" s="3" t="str" cm="1">
        <f t="array" ref="A83">INDEX(Tencent!$A$2:$A$173,ROWS(Tencent!$A$2:$A$173)-ROW(A82)+1)</f>
        <v>03/01/2019</v>
      </c>
      <c r="B83" s="4">
        <f>(Apple!D83-Apple!E83)/Apple!E83</f>
        <v>0.14702668955829565</v>
      </c>
      <c r="C83" s="4">
        <f>(Microsoft!D83-Microsoft!E83)/Microsoft!E83</f>
        <v>8.7964541425161982E-2</v>
      </c>
      <c r="D83" s="4">
        <f>(Google!D83-Google!E83)/Google!E83</f>
        <v>7.0477682067345226E-2</v>
      </c>
      <c r="E83" s="4">
        <f>(Amazon!D83-Amazon!E83)/Amazon!E83</f>
        <v>9.5907780979827009E-2</v>
      </c>
      <c r="F83" s="4">
        <f>(NVIDIA!D83-NVIDIA!E83)/NVIDIA!E83</f>
        <v>0.20758483033932137</v>
      </c>
      <c r="G83" s="4">
        <f>('Meta(Facebook)'!D83-'Meta(Facebook)'!E83)/'Meta(Facebook)'!E83</f>
        <v>8.1586167624372416E-2</v>
      </c>
      <c r="H83" s="4">
        <f>('Samsung 005930'!D83-'Samsung 005930'!E83)/'Samsung 005930'!E83</f>
        <v>0.16938775510204082</v>
      </c>
      <c r="I83" s="4">
        <f>(Tesla!D83-Tesla!E83)/Tesla!E83</f>
        <v>0.32997250229147568</v>
      </c>
      <c r="J83" s="4">
        <f>(Intel!D83-Intel!E83)/Intel!E83</f>
        <v>8.4843049327354203E-2</v>
      </c>
      <c r="K83" s="4">
        <f>(Tencent!D83-Tencent!E83)/Tencent!E83</f>
        <v>0.18438510517718418</v>
      </c>
    </row>
    <row r="84" spans="1:11" x14ac:dyDescent="0.5">
      <c r="A84" s="3" t="str" cm="1">
        <f t="array" ref="A84">INDEX(Tencent!$A$2:$A$173,ROWS(Tencent!$A$2:$A$173)-ROW(A83)+1)</f>
        <v>04/01/2019</v>
      </c>
      <c r="B84" s="4">
        <f>(Apple!D84-Apple!E84)/Apple!E84</f>
        <v>7.5614063252528507E-2</v>
      </c>
      <c r="C84" s="4">
        <f>(Microsoft!D84-Microsoft!E84)/Microsoft!E84</f>
        <v>6.6657340700846335E-2</v>
      </c>
      <c r="D84" s="4">
        <f>(Google!D84-Google!E84)/Google!E84</f>
        <v>5.8898237815526285E-2</v>
      </c>
      <c r="E84" s="4">
        <f>(Amazon!D84-Amazon!E84)/Amazon!E84</f>
        <v>5.9089853726491795E-2</v>
      </c>
      <c r="F84" s="4">
        <f>(NVIDIA!D84-NVIDIA!E84)/NVIDIA!E84</f>
        <v>0.11693548387096776</v>
      </c>
      <c r="G84" s="4">
        <f>('Meta(Facebook)'!D84-'Meta(Facebook)'!E84)/'Meta(Facebook)'!E84</f>
        <v>8.0937732046250238E-2</v>
      </c>
      <c r="H84" s="4">
        <f>('Samsung 005930'!D84-'Samsung 005930'!E84)/'Samsung 005930'!E84</f>
        <v>7.1713147410358571E-2</v>
      </c>
      <c r="I84" s="4">
        <f>(Tesla!D84-Tesla!E84)/Tesla!E84</f>
        <v>0.1677982541222113</v>
      </c>
      <c r="J84" s="4">
        <f>(Intel!D84-Intel!E84)/Intel!E84</f>
        <v>6.3106796116504951E-2</v>
      </c>
      <c r="K84" s="4">
        <f>(Tencent!D84-Tencent!E84)/Tencent!E84</f>
        <v>7.5456251066007188E-2</v>
      </c>
    </row>
    <row r="85" spans="1:11" x14ac:dyDescent="0.5">
      <c r="A85" s="3" t="str" cm="1">
        <f t="array" ref="A85">INDEX(Tencent!$A$2:$A$173,ROWS(Tencent!$A$2:$A$173)-ROW(A84)+1)</f>
        <v>05/01/2019</v>
      </c>
      <c r="B85" s="4">
        <f>(Apple!D85-Apple!E85)/Apple!E85</f>
        <v>0.16102640386760872</v>
      </c>
      <c r="C85" s="4">
        <f>(Microsoft!D85-Microsoft!E85)/Microsoft!E85</f>
        <v>9.3454436270830124E-2</v>
      </c>
      <c r="D85" s="4">
        <f>(Google!D85-Google!E85)/Google!E85</f>
        <v>0.11691884456671248</v>
      </c>
      <c r="E85" s="4">
        <f>(Amazon!D85-Amazon!E85)/Amazon!E85</f>
        <v>6.7537091988130543E-2</v>
      </c>
      <c r="F85" s="4">
        <f>(NVIDIA!D85-NVIDIA!E85)/NVIDIA!E85</f>
        <v>0.22823529411764701</v>
      </c>
      <c r="G85" s="4">
        <f>('Meta(Facebook)'!D85-'Meta(Facebook)'!E85)/'Meta(Facebook)'!E85</f>
        <v>0.14443353168871684</v>
      </c>
      <c r="H85" s="4">
        <f>('Samsung 005930'!D85-'Samsung 005930'!E85)/'Samsung 005930'!E85</f>
        <v>0.10876451953537487</v>
      </c>
      <c r="I85" s="4">
        <f>(Tesla!D85-Tesla!E85)/Tesla!E85</f>
        <v>0.51973244147157194</v>
      </c>
      <c r="J85" s="4">
        <f>(Intel!D85-Intel!E85)/Intel!E85</f>
        <v>0.17947661240469814</v>
      </c>
      <c r="K85" s="4">
        <f>(Tencent!D85-Tencent!E85)/Tencent!E85</f>
        <v>6.2271567478104972E-2</v>
      </c>
    </row>
    <row r="86" spans="1:11" x14ac:dyDescent="0.5">
      <c r="A86" s="3" t="str" cm="1">
        <f t="array" ref="A86">INDEX(Tencent!$A$2:$A$173,ROWS(Tencent!$A$2:$A$173)-ROW(A85)+1)</f>
        <v>06/01/2019</v>
      </c>
      <c r="B86" s="4">
        <f>(Apple!D86-Apple!E86)/Apple!E86</f>
        <v>0.10871694417238011</v>
      </c>
      <c r="C86" s="4">
        <f>(Microsoft!D86-Microsoft!E86)/Microsoft!E86</f>
        <v>5.8434317151141286E-2</v>
      </c>
      <c r="D86" s="4">
        <f>(Google!D86-Google!E86)/Google!E86</f>
        <v>7.2349200893624357E-2</v>
      </c>
      <c r="E86" s="4">
        <f>(Amazon!D86-Amazon!E86)/Amazon!E86</f>
        <v>8.4483969108354942E-2</v>
      </c>
      <c r="F86" s="4">
        <f>(NVIDIA!D86-NVIDIA!E86)/NVIDIA!E86</f>
        <v>0.15441176470588233</v>
      </c>
      <c r="G86" s="4">
        <f>('Meta(Facebook)'!D86-'Meta(Facebook)'!E86)/'Meta(Facebook)'!E86</f>
        <v>9.9282705226004769E-2</v>
      </c>
      <c r="H86" s="4">
        <f>('Samsung 005930'!D86-'Samsung 005930'!E86)/'Samsung 005930'!E86</f>
        <v>0.1519721577726218</v>
      </c>
      <c r="I86" s="4">
        <f>(Tesla!D86-Tesla!E86)/Tesla!E86</f>
        <v>0.16071428571428559</v>
      </c>
      <c r="J86" s="4">
        <f>(Intel!D86-Intel!E86)/Intel!E86</f>
        <v>0.14712841471284138</v>
      </c>
      <c r="K86" s="4">
        <f>(Tencent!D86-Tencent!E86)/Tencent!E86</f>
        <v>8.533190219031965E-2</v>
      </c>
    </row>
    <row r="87" spans="1:11" x14ac:dyDescent="0.5">
      <c r="A87" s="3" t="str" cm="1">
        <f t="array" ref="A87">INDEX(Tencent!$A$2:$A$173,ROWS(Tencent!$A$2:$A$173)-ROW(A86)+1)</f>
        <v>07/01/2019</v>
      </c>
      <c r="B87" s="4">
        <f>(Apple!D87-Apple!E87)/Apple!E87</f>
        <v>0.13208722741433021</v>
      </c>
      <c r="C87" s="4">
        <f>(Microsoft!D87-Microsoft!E87)/Microsoft!E87</f>
        <v>7.7687719834837105E-2</v>
      </c>
      <c r="D87" s="4">
        <f>(Google!D87-Google!E87)/Google!E87</f>
        <v>8.1729086454322739E-2</v>
      </c>
      <c r="E87" s="4">
        <f>(Amazon!D87-Amazon!E87)/Amazon!E87</f>
        <v>8.8552420279880681E-2</v>
      </c>
      <c r="F87" s="4">
        <f>(NVIDIA!D87-NVIDIA!E87)/NVIDIA!E87</f>
        <v>0.17934782608695643</v>
      </c>
      <c r="G87" s="4">
        <f>('Meta(Facebook)'!D87-'Meta(Facebook)'!E87)/'Meta(Facebook)'!E87</f>
        <v>0.12345748896184763</v>
      </c>
      <c r="H87" s="4">
        <f>('Samsung 005930'!D87-'Samsung 005930'!E87)/'Samsung 005930'!E87</f>
        <v>7.0588235294117646E-2</v>
      </c>
      <c r="I87" s="4">
        <f>(Tesla!D87-Tesla!E87)/Tesla!E87</f>
        <v>0.15849324804548687</v>
      </c>
      <c r="J87" s="4">
        <f>(Intel!D87-Intel!E87)/Intel!E87</f>
        <v>0.15825892857142865</v>
      </c>
      <c r="K87" s="4">
        <f>(Tencent!D87-Tencent!E87)/Tencent!E87</f>
        <v>0.19732453092425281</v>
      </c>
    </row>
    <row r="88" spans="1:11" x14ac:dyDescent="0.5">
      <c r="A88" s="3" t="str" cm="1">
        <f t="array" ref="A88">INDEX(Tencent!$A$2:$A$173,ROWS(Tencent!$A$2:$A$173)-ROW(A87)+1)</f>
        <v>08/01/2019</v>
      </c>
      <c r="B88" s="4">
        <f>(Apple!D88-Apple!E88)/Apple!E88</f>
        <v>0.11572580645161294</v>
      </c>
      <c r="C88" s="4">
        <f>(Microsoft!D88-Microsoft!E88)/Microsoft!E88</f>
        <v>5.2053167000816962E-2</v>
      </c>
      <c r="D88" s="4">
        <f>(Google!D88-Google!E88)/Google!E88</f>
        <v>0.15793317509585536</v>
      </c>
      <c r="E88" s="4">
        <f>(Amazon!D88-Amazon!E88)/Amazon!E88</f>
        <v>0.10078944522547861</v>
      </c>
      <c r="F88" s="4">
        <f>(NVIDIA!D88-NVIDIA!E88)/NVIDIA!E88</f>
        <v>0.15206185567010305</v>
      </c>
      <c r="G88" s="4">
        <f>('Meta(Facebook)'!D88-'Meta(Facebook)'!E88)/'Meta(Facebook)'!E88</f>
        <v>8.7167196373677841E-2</v>
      </c>
      <c r="H88" s="4">
        <f>('Samsung 005930'!D88-'Samsung 005930'!E88)/'Samsung 005930'!E88</f>
        <v>7.2153325817361891E-2</v>
      </c>
      <c r="I88" s="4">
        <f>(Tesla!D88-Tesla!E88)/Tesla!E88</f>
        <v>0.19783929777177567</v>
      </c>
      <c r="J88" s="4">
        <f>(Intel!D88-Intel!E88)/Intel!E88</f>
        <v>0.13660505629912895</v>
      </c>
      <c r="K88" s="4">
        <f>(Tencent!D88-Tencent!E88)/Tencent!E88</f>
        <v>8.8783293735150606E-2</v>
      </c>
    </row>
    <row r="89" spans="1:11" x14ac:dyDescent="0.5">
      <c r="A89" s="3" t="str" cm="1">
        <f t="array" ref="A89">INDEX(Tencent!$A$2:$A$173,ROWS(Tencent!$A$2:$A$173)-ROW(A88)+1)</f>
        <v>09/01/2019</v>
      </c>
      <c r="B89" s="4">
        <f>(Apple!D89-Apple!E89)/Apple!E89</f>
        <v>0.183697439511393</v>
      </c>
      <c r="C89" s="4">
        <f>(Microsoft!D89-Microsoft!E89)/Microsoft!E89</f>
        <v>0.16292748508528695</v>
      </c>
      <c r="D89" s="4">
        <f>(Google!D89-Google!E89)/Google!E89</f>
        <v>9.6981499513145025E-2</v>
      </c>
      <c r="E89" s="4">
        <f>(Amazon!D89-Amazon!E89)/Amazon!E89</f>
        <v>0.15741626794258387</v>
      </c>
      <c r="F89" s="4">
        <f>(NVIDIA!D89-NVIDIA!E89)/NVIDIA!E89</f>
        <v>0.24397590361445787</v>
      </c>
      <c r="G89" s="4">
        <f>('Meta(Facebook)'!D89-'Meta(Facebook)'!E89)/'Meta(Facebook)'!E89</f>
        <v>0.20946282019398157</v>
      </c>
      <c r="H89" s="4">
        <f>('Samsung 005930'!D89-'Samsung 005930'!E89)/'Samsung 005930'!E89</f>
        <v>0.10588235294117647</v>
      </c>
      <c r="I89" s="4">
        <f>(Tesla!D89-Tesla!E89)/Tesla!E89</f>
        <v>0.32627118644067793</v>
      </c>
      <c r="J89" s="4">
        <f>(Intel!D89-Intel!E89)/Intel!E89</f>
        <v>0.12222222222222208</v>
      </c>
      <c r="K89" s="4">
        <f>(Tencent!D89-Tencent!E89)/Tencent!E89</f>
        <v>9.6333022760548545E-2</v>
      </c>
    </row>
    <row r="90" spans="1:11" x14ac:dyDescent="0.5">
      <c r="A90" s="3" t="str" cm="1">
        <f t="array" ref="A90">INDEX(Tencent!$A$2:$A$173,ROWS(Tencent!$A$2:$A$173)-ROW(A89)+1)</f>
        <v>10/01/2019</v>
      </c>
      <c r="B90" s="4">
        <f>(Apple!D90-Apple!E90)/Apple!E90</f>
        <v>0.23039999999999997</v>
      </c>
      <c r="C90" s="4">
        <f>(Microsoft!D90-Microsoft!E90)/Microsoft!E90</f>
        <v>6.1849804941482435E-2</v>
      </c>
      <c r="D90" s="4">
        <f>(Google!D90-Google!E90)/Google!E90</f>
        <v>8.6822548486496259E-2</v>
      </c>
      <c r="E90" s="4">
        <f>(Amazon!D90-Amazon!E90)/Amazon!E90</f>
        <v>0.10807761732851984</v>
      </c>
      <c r="F90" s="4">
        <f>(NVIDIA!D90-NVIDIA!E90)/NVIDIA!E90</f>
        <v>0.36686390532544388</v>
      </c>
      <c r="G90" s="4">
        <f>('Meta(Facebook)'!D90-'Meta(Facebook)'!E90)/'Meta(Facebook)'!E90</f>
        <v>0.10736057800857987</v>
      </c>
      <c r="H90" s="4">
        <f>('Samsung 005930'!D90-'Samsung 005930'!E90)/'Samsung 005930'!E90</f>
        <v>0.12974296205630356</v>
      </c>
      <c r="I90" s="4">
        <f>(Tesla!D90-Tesla!E90)/Tesla!E90</f>
        <v>0.40342298288508555</v>
      </c>
      <c r="J90" s="4">
        <f>(Intel!D90-Intel!E90)/Intel!E90</f>
        <v>0.20905272981801215</v>
      </c>
      <c r="K90" s="4">
        <f>(Tencent!D90-Tencent!E90)/Tencent!E90</f>
        <v>0.24684974661005332</v>
      </c>
    </row>
    <row r="91" spans="1:11" x14ac:dyDescent="0.5">
      <c r="A91" s="3" t="str" cm="1">
        <f t="array" ref="A91">INDEX(Tencent!$A$2:$A$173,ROWS(Tencent!$A$2:$A$173)-ROW(A90)+1)</f>
        <v>11/01/2019</v>
      </c>
      <c r="B91" s="4">
        <f>(Apple!D91-Apple!E91)/Apple!E91</f>
        <v>0.10681673391378199</v>
      </c>
      <c r="C91" s="4">
        <f>(Microsoft!D91-Microsoft!E91)/Microsoft!E91</f>
        <v>0.11236240474174437</v>
      </c>
      <c r="D91" s="4">
        <f>(Google!D91-Google!E91)/Google!E91</f>
        <v>9.6365173288250144E-2</v>
      </c>
      <c r="E91" s="4">
        <f>(Amazon!D91-Amazon!E91)/Amazon!E91</f>
        <v>8.7613964865465813E-2</v>
      </c>
      <c r="F91" s="4">
        <f>(NVIDIA!D91-NVIDIA!E91)/NVIDIA!E91</f>
        <v>0.11778290993071588</v>
      </c>
      <c r="G91" s="4">
        <f>('Meta(Facebook)'!D91-'Meta(Facebook)'!E91)/'Meta(Facebook)'!E91</f>
        <v>0.1865136298421807</v>
      </c>
      <c r="H91" s="4">
        <f>('Samsung 005930'!D91-'Samsung 005930'!E91)/'Samsung 005930'!E91</f>
        <v>8.6757990867579904E-2</v>
      </c>
      <c r="I91" s="4">
        <f>(Tesla!D91-Tesla!E91)/Tesla!E91</f>
        <v>0.28098637248539898</v>
      </c>
      <c r="J91" s="4">
        <f>(Intel!D91-Intel!E91)/Intel!E91</f>
        <v>0.17141733831334788</v>
      </c>
      <c r="K91" s="4">
        <f>(Tencent!D91-Tencent!E91)/Tencent!E91</f>
        <v>9.7594338219988669E-2</v>
      </c>
    </row>
    <row r="92" spans="1:11" x14ac:dyDescent="0.5">
      <c r="A92" s="3" t="str" cm="1">
        <f t="array" ref="A92">INDEX(Tencent!$A$2:$A$173,ROWS(Tencent!$A$2:$A$173)-ROW(A91)+1)</f>
        <v>12/01/2019</v>
      </c>
      <c r="B92" s="4">
        <f>(Apple!D92-Apple!E92)/Apple!E92</f>
        <v>0.16611609249646056</v>
      </c>
      <c r="C92" s="4">
        <f>(Microsoft!D92-Microsoft!E92)/Microsoft!E92</f>
        <v>0.11047794117647056</v>
      </c>
      <c r="D92" s="4">
        <f>(Google!D92-Google!E92)/Google!E92</f>
        <v>9.3965669792957049E-2</v>
      </c>
      <c r="E92" s="4">
        <f>(Amazon!D92-Amazon!E92)/Amazon!E92</f>
        <v>0.14950207991932435</v>
      </c>
      <c r="F92" s="4">
        <f>(NVIDIA!D92-NVIDIA!E92)/NVIDIA!E92</f>
        <v>0.27900552486187841</v>
      </c>
      <c r="G92" s="4">
        <f>('Meta(Facebook)'!D92-'Meta(Facebook)'!E92)/'Meta(Facebook)'!E92</f>
        <v>9.429934706177806E-2</v>
      </c>
      <c r="H92" s="4">
        <f>('Samsung 005930'!D92-'Samsung 005930'!E92)/'Samsung 005930'!E92</f>
        <v>9.0487238979118326E-2</v>
      </c>
      <c r="I92" s="4">
        <f>(Tesla!D92-Tesla!E92)/Tesla!E92</f>
        <v>0.20754716981132071</v>
      </c>
      <c r="J92" s="4">
        <f>(Intel!D92-Intel!E92)/Intel!E92</f>
        <v>6.3636363636363616E-2</v>
      </c>
      <c r="K92" s="4">
        <f>(Tencent!D92-Tencent!E92)/Tencent!E92</f>
        <v>0.11335610867089628</v>
      </c>
    </row>
    <row r="93" spans="1:11" x14ac:dyDescent="0.5">
      <c r="A93" s="3" t="str" cm="1">
        <f t="array" ref="A93">INDEX(Tencent!$A$2:$A$173,ROWS(Tencent!$A$2:$A$173)-ROW(A92)+1)</f>
        <v>01/01/2020</v>
      </c>
      <c r="B93" s="4">
        <f>(Apple!D93-Apple!E93)/Apple!E93</f>
        <v>6.0028929604628786E-2</v>
      </c>
      <c r="C93" s="4">
        <f>(Microsoft!D93-Microsoft!E93)/Microsoft!E93</f>
        <v>0.10639960918417198</v>
      </c>
      <c r="D93" s="4">
        <f>(Google!D93-Google!E93)/Google!E93</f>
        <v>5.5230431602048338E-2</v>
      </c>
      <c r="E93" s="4">
        <f>(Amazon!D93-Amazon!E93)/Amazon!E93</f>
        <v>6.7781465407199412E-2</v>
      </c>
      <c r="F93" s="4">
        <f>(NVIDIA!D93-NVIDIA!E93)/NVIDIA!E93</f>
        <v>0.16011235955056174</v>
      </c>
      <c r="G93" s="4">
        <f>('Meta(Facebook)'!D93-'Meta(Facebook)'!E93)/'Meta(Facebook)'!E93</f>
        <v>8.0706811203709469E-2</v>
      </c>
      <c r="H93" s="4">
        <f>('Samsung 005930'!D93-'Samsung 005930'!E93)/'Samsung 005930'!E93</f>
        <v>7.4576271186440682E-2</v>
      </c>
      <c r="I93" s="4">
        <f>(Tesla!D93-Tesla!E93)/Tesla!E93</f>
        <v>0.12311688311688317</v>
      </c>
      <c r="J93" s="4">
        <f>(Intel!D93-Intel!E93)/Intel!E93</f>
        <v>0.14039566049776647</v>
      </c>
      <c r="K93" s="4">
        <f>(Tencent!D93-Tencent!E93)/Tencent!E93</f>
        <v>6.5832569107821384E-2</v>
      </c>
    </row>
    <row r="94" spans="1:11" x14ac:dyDescent="0.5">
      <c r="A94" s="3" t="str" cm="1">
        <f t="array" ref="A94">INDEX(Tencent!$A$2:$A$173,ROWS(Tencent!$A$2:$A$173)-ROW(A93)+1)</f>
        <v>02/01/2020</v>
      </c>
      <c r="B94" s="4">
        <f>(Apple!D94-Apple!E94)/Apple!E94</f>
        <v>0.19014084507042253</v>
      </c>
      <c r="C94" s="4">
        <f>(Microsoft!D94-Microsoft!E94)/Microsoft!E94</f>
        <v>0.110082304526749</v>
      </c>
      <c r="D94" s="4">
        <f>(Google!D94-Google!E94)/Google!E94</f>
        <v>0.10289514866979667</v>
      </c>
      <c r="E94" s="4">
        <f>(Amazon!D94-Amazon!E94)/Amazon!E94</f>
        <v>0.18850102669404512</v>
      </c>
      <c r="F94" s="4">
        <f>(NVIDIA!D94-NVIDIA!E94)/NVIDIA!E94</f>
        <v>0.26018808777429459</v>
      </c>
      <c r="G94" s="4">
        <f>('Meta(Facebook)'!D94-'Meta(Facebook)'!E94)/'Meta(Facebook)'!E94</f>
        <v>0.33540759178593654</v>
      </c>
      <c r="H94" s="4">
        <f>('Samsung 005930'!D94-'Samsung 005930'!E94)/'Samsung 005930'!E94</f>
        <v>0.27679782903663502</v>
      </c>
      <c r="I94" s="4">
        <f>(Tesla!D94-Tesla!E94)/Tesla!E94</f>
        <v>0.26047261009667011</v>
      </c>
      <c r="J94" s="4">
        <f>(Intel!D94-Intel!E94)/Intel!E94</f>
        <v>0.12705564316287454</v>
      </c>
      <c r="K94" s="4">
        <f>(Tencent!D94-Tencent!E94)/Tencent!E94</f>
        <v>0.16846020511339005</v>
      </c>
    </row>
    <row r="95" spans="1:11" x14ac:dyDescent="0.5">
      <c r="A95" s="3" t="str" cm="1">
        <f t="array" ref="A95">INDEX(Tencent!$A$2:$A$173,ROWS(Tencent!$A$2:$A$173)-ROW(A94)+1)</f>
        <v>03/01/2020</v>
      </c>
      <c r="B95" s="4">
        <f>(Apple!D95-Apple!E95)/Apple!E95</f>
        <v>0.26139154160982259</v>
      </c>
      <c r="C95" s="4">
        <f>(Microsoft!D95-Microsoft!E95)/Microsoft!E95</f>
        <v>0.20710940825883364</v>
      </c>
      <c r="D95" s="4">
        <f>(Google!D95-Google!E95)/Google!E95</f>
        <v>0.16100654664484446</v>
      </c>
      <c r="E95" s="4">
        <f>(Amazon!D95-Amazon!E95)/Amazon!E95</f>
        <v>0.36067329762815625</v>
      </c>
      <c r="F95" s="4">
        <f>(NVIDIA!D95-NVIDIA!E95)/NVIDIA!E95</f>
        <v>0.40514469453376217</v>
      </c>
      <c r="G95" s="4">
        <f>('Meta(Facebook)'!D95-'Meta(Facebook)'!E95)/'Meta(Facebook)'!E95</f>
        <v>0.1964721183547391</v>
      </c>
      <c r="H95" s="4">
        <f>('Samsung 005930'!D95-'Samsung 005930'!E95)/'Samsung 005930'!E95</f>
        <v>0.13910761154855644</v>
      </c>
      <c r="I95" s="4">
        <f>(Tesla!D95-Tesla!E95)/Tesla!E95</f>
        <v>0.29015808261091286</v>
      </c>
      <c r="J95" s="4">
        <f>(Intel!D95-Intel!E95)/Intel!E95</f>
        <v>0.16042289128935885</v>
      </c>
      <c r="K95" s="4">
        <f>(Tencent!D95-Tencent!E95)/Tencent!E95</f>
        <v>0.10570917193264419</v>
      </c>
    </row>
    <row r="96" spans="1:11" x14ac:dyDescent="0.5">
      <c r="A96" s="3" t="str" cm="1">
        <f t="array" ref="A96">INDEX(Tencent!$A$2:$A$173,ROWS(Tencent!$A$2:$A$173)-ROW(A95)+1)</f>
        <v>04/01/2020</v>
      </c>
      <c r="B96" s="4">
        <f>(Apple!D96-Apple!E96)/Apple!E96</f>
        <v>0.30615601503759399</v>
      </c>
      <c r="C96" s="4">
        <f>(Microsoft!D96-Microsoft!E96)/Microsoft!E96</f>
        <v>0.12974333165576246</v>
      </c>
      <c r="D96" s="4">
        <f>(Google!D96-Google!E96)/Google!E96</f>
        <v>0.10756336060666535</v>
      </c>
      <c r="E96" s="4">
        <f>(Amazon!D96-Amazon!E96)/Amazon!E96</f>
        <v>0.25633802816901413</v>
      </c>
      <c r="F96" s="4">
        <f>(NVIDIA!D96-NVIDIA!E96)/NVIDIA!E96</f>
        <v>0.66666666666666663</v>
      </c>
      <c r="G96" s="4">
        <f>('Meta(Facebook)'!D96-'Meta(Facebook)'!E96)/'Meta(Facebook)'!E96</f>
        <v>0.21505715411903825</v>
      </c>
      <c r="H96" s="4">
        <f>('Samsung 005930'!D96-'Samsung 005930'!E96)/'Samsung 005930'!E96</f>
        <v>8.3832335329341312E-2</v>
      </c>
      <c r="I96" s="4">
        <f>(Tesla!D96-Tesla!E96)/Tesla!E96</f>
        <v>0.1282879556991231</v>
      </c>
      <c r="J96" s="4">
        <f>(Intel!D96-Intel!E96)/Intel!E96</f>
        <v>6.0189165950128909E-2</v>
      </c>
      <c r="K96" s="4">
        <f>(Tencent!D96-Tencent!E96)/Tencent!E96</f>
        <v>0.23387298673120246</v>
      </c>
    </row>
    <row r="97" spans="1:11" x14ac:dyDescent="0.5">
      <c r="A97" s="3" t="str" cm="1">
        <f t="array" ref="A97">INDEX(Tencent!$A$2:$A$173,ROWS(Tencent!$A$2:$A$173)-ROW(A96)+1)</f>
        <v>05/01/2020</v>
      </c>
      <c r="B97" s="4">
        <f>(Apple!D97-Apple!E97)/Apple!E97</f>
        <v>0.13295807453416136</v>
      </c>
      <c r="C97" s="4">
        <f>(Microsoft!D97-Microsoft!E97)/Microsoft!E97</f>
        <v>0.1605234242333434</v>
      </c>
      <c r="D97" s="4">
        <f>(Google!D97-Google!E97)/Google!E97</f>
        <v>0.21584590945194593</v>
      </c>
      <c r="E97" s="4">
        <f>(Amazon!D97-Amazon!E97)/Amazon!E97</f>
        <v>0.3771335681387159</v>
      </c>
      <c r="F97" s="4">
        <f>(NVIDIA!D97-NVIDIA!E97)/NVIDIA!E97</f>
        <v>0.66363636363636358</v>
      </c>
      <c r="G97" s="4">
        <f>('Meta(Facebook)'!D97-'Meta(Facebook)'!E97)/'Meta(Facebook)'!E97</f>
        <v>0.19312378623318704</v>
      </c>
      <c r="H97" s="4">
        <f>('Samsung 005930'!D97-'Samsung 005930'!E97)/'Samsung 005930'!E97</f>
        <v>0.15841584158415842</v>
      </c>
      <c r="I97" s="4">
        <f>(Tesla!D97-Tesla!E97)/Tesla!E97</f>
        <v>0.40072639225181605</v>
      </c>
      <c r="J97" s="4">
        <f>(Intel!D97-Intel!E97)/Intel!E97</f>
        <v>0.17374881964117089</v>
      </c>
      <c r="K97" s="4">
        <f>(Tencent!D97-Tencent!E97)/Tencent!E97</f>
        <v>0.29274186588418044</v>
      </c>
    </row>
    <row r="98" spans="1:11" x14ac:dyDescent="0.5">
      <c r="A98" s="3" t="str" cm="1">
        <f t="array" ref="A98">INDEX(Tencent!$A$2:$A$173,ROWS(Tencent!$A$2:$A$173)-ROW(A97)+1)</f>
        <v>06/01/2020</v>
      </c>
      <c r="B98" s="4">
        <f>(Apple!D98-Apple!E98)/Apple!E98</f>
        <v>6.6691436002229307E-2</v>
      </c>
      <c r="C98" s="4">
        <f>(Microsoft!D98-Microsoft!E98)/Microsoft!E98</f>
        <v>7.5165532033945742E-2</v>
      </c>
      <c r="D98" s="4">
        <f>(Google!D98-Google!E98)/Google!E98</f>
        <v>6.6168808614102154E-2</v>
      </c>
      <c r="E98" s="4">
        <f>(Amazon!D98-Amazon!E98)/Amazon!E98</f>
        <v>9.9517426273458456E-2</v>
      </c>
      <c r="F98" s="4">
        <f>(NVIDIA!D98-NVIDIA!E98)/NVIDIA!E98</f>
        <v>0.1020092735703246</v>
      </c>
      <c r="G98" s="4">
        <f>('Meta(Facebook)'!D98-'Meta(Facebook)'!E98)/'Meta(Facebook)'!E98</f>
        <v>9.4542707874362572E-2</v>
      </c>
      <c r="H98" s="4">
        <f>('Samsung 005930'!D98-'Samsung 005930'!E98)/'Samsung 005930'!E98</f>
        <v>9.7727272727272732E-2</v>
      </c>
      <c r="I98" s="4">
        <f>(Tesla!D98-Tesla!E98)/Tesla!E98</f>
        <v>0.24851367419738404</v>
      </c>
      <c r="J98" s="4">
        <f>(Intel!D98-Intel!E98)/Intel!E98</f>
        <v>9.9182932364956816E-2</v>
      </c>
      <c r="K98" s="4">
        <f>(Tencent!D98-Tencent!E98)/Tencent!E98</f>
        <v>0.11729996800909964</v>
      </c>
    </row>
    <row r="99" spans="1:11" x14ac:dyDescent="0.5">
      <c r="A99" s="3" t="str" cm="1">
        <f t="array" ref="A99">INDEX(Tencent!$A$2:$A$173,ROWS(Tencent!$A$2:$A$173)-ROW(A98)+1)</f>
        <v>07/01/2020</v>
      </c>
      <c r="B99" s="4">
        <f>(Apple!D99-Apple!E99)/Apple!E99</f>
        <v>0.15994323940806812</v>
      </c>
      <c r="C99" s="4">
        <f>(Microsoft!D99-Microsoft!E99)/Microsoft!E99</f>
        <v>7.5734452499046145E-2</v>
      </c>
      <c r="D99" s="4">
        <f>(Google!D99-Google!E99)/Google!E99</f>
        <v>5.6478405315614592E-2</v>
      </c>
      <c r="E99" s="4">
        <f>(Amazon!D99-Amazon!E99)/Amazon!E99</f>
        <v>0.14054054054054058</v>
      </c>
      <c r="F99" s="4">
        <f>(NVIDIA!D99-NVIDIA!E99)/NVIDIA!E99</f>
        <v>0.17922948073701847</v>
      </c>
      <c r="G99" s="4">
        <f>('Meta(Facebook)'!D99-'Meta(Facebook)'!E99)/'Meta(Facebook)'!E99</f>
        <v>0.10589064427086392</v>
      </c>
      <c r="H99" s="4">
        <f>('Samsung 005930'!D99-'Samsung 005930'!E99)/'Samsung 005930'!E99</f>
        <v>0.11379310344827587</v>
      </c>
      <c r="I99" s="4">
        <f>(Tesla!D99-Tesla!E99)/Tesla!E99</f>
        <v>0.34461218115564796</v>
      </c>
      <c r="J99" s="4">
        <f>(Intel!D99-Intel!E99)/Intel!E99</f>
        <v>9.5475211084650444E-2</v>
      </c>
      <c r="K99" s="4">
        <f>(Tencent!D99-Tencent!E99)/Tencent!E99</f>
        <v>0.1774188063254549</v>
      </c>
    </row>
    <row r="100" spans="1:11" x14ac:dyDescent="0.5">
      <c r="A100" s="3" t="str" cm="1">
        <f t="array" ref="A100">INDEX(Tencent!$A$2:$A$173,ROWS(Tencent!$A$2:$A$173)-ROW(A99)+1)</f>
        <v>08/01/2020</v>
      </c>
      <c r="B100" s="4">
        <f>(Apple!D100-Apple!E100)/Apple!E100</f>
        <v>6.8484187568157037E-2</v>
      </c>
      <c r="C100" s="4">
        <f>(Microsoft!D100-Microsoft!E100)/Microsoft!E100</f>
        <v>0.13418367346938781</v>
      </c>
      <c r="D100" s="4">
        <f>(Google!D100-Google!E100)/Google!E100</f>
        <v>0.16699801192842934</v>
      </c>
      <c r="E100" s="4">
        <f>(Amazon!D100-Amazon!E100)/Amazon!E100</f>
        <v>0.12038140643623353</v>
      </c>
      <c r="F100" s="4">
        <f>(NVIDIA!D100-NVIDIA!E100)/NVIDIA!E100</f>
        <v>9.9485420240137235E-2</v>
      </c>
      <c r="G100" s="4">
        <f>('Meta(Facebook)'!D100-'Meta(Facebook)'!E100)/'Meta(Facebook)'!E100</f>
        <v>0.31256003842459174</v>
      </c>
      <c r="H100" s="4">
        <f>('Samsung 005930'!D100-'Samsung 005930'!E100)/'Samsung 005930'!E100</f>
        <v>6.6069428891377374E-2</v>
      </c>
      <c r="I100" s="4">
        <f>(Tesla!D100-Tesla!E100)/Tesla!E100</f>
        <v>0.27463312368972759</v>
      </c>
      <c r="J100" s="4">
        <f>(Intel!D100-Intel!E100)/Intel!E100</f>
        <v>0.14796467800990734</v>
      </c>
      <c r="K100" s="4">
        <f>(Tencent!D100-Tencent!E100)/Tencent!E100</f>
        <v>0.12619720039292737</v>
      </c>
    </row>
    <row r="101" spans="1:11" x14ac:dyDescent="0.5">
      <c r="A101" s="3" t="str" cm="1">
        <f t="array" ref="A101">INDEX(Tencent!$A$2:$A$173,ROWS(Tencent!$A$2:$A$173)-ROW(A100)+1)</f>
        <v>09/01/2020</v>
      </c>
      <c r="B101" s="4">
        <f>(Apple!D101-Apple!E101)/Apple!E101</f>
        <v>7.4590526781761785E-2</v>
      </c>
      <c r="C101" s="4">
        <f>(Microsoft!D101-Microsoft!E101)/Microsoft!E101</f>
        <v>5.5829734731647054E-2</v>
      </c>
      <c r="D101" s="4">
        <f>(Google!D101-Google!E101)/Google!E101</f>
        <v>8.6256781193490117E-2</v>
      </c>
      <c r="E101" s="4">
        <f>(Amazon!D101-Amazon!E101)/Amazon!E101</f>
        <v>7.828746177370037E-2</v>
      </c>
      <c r="F101" s="4">
        <f>(NVIDIA!D101-NVIDIA!E101)/NVIDIA!E101</f>
        <v>0.14455782312925181</v>
      </c>
      <c r="G101" s="4">
        <f>('Meta(Facebook)'!D101-'Meta(Facebook)'!E101)/'Meta(Facebook)'!E101</f>
        <v>9.1830713940889361E-2</v>
      </c>
      <c r="H101" s="4">
        <f>('Samsung 005930'!D101-'Samsung 005930'!E101)/'Samsung 005930'!E101</f>
        <v>0.12854030501089325</v>
      </c>
      <c r="I101" s="4">
        <f>(Tesla!D101-Tesla!E101)/Tesla!E101</f>
        <v>0.31712473572938688</v>
      </c>
      <c r="J101" s="4">
        <f>(Intel!D101-Intel!E101)/Intel!E101</f>
        <v>0.18762886597938147</v>
      </c>
      <c r="K101" s="4">
        <f>(Tencent!D101-Tencent!E101)/Tencent!E101</f>
        <v>0.15587320956448467</v>
      </c>
    </row>
    <row r="102" spans="1:11" x14ac:dyDescent="0.5">
      <c r="A102" s="3" t="str" cm="1">
        <f t="array" ref="A102">INDEX(Tencent!$A$2:$A$173,ROWS(Tencent!$A$2:$A$173)-ROW(A101)+1)</f>
        <v>10/01/2020</v>
      </c>
      <c r="B102" s="4">
        <f>(Apple!D102-Apple!E102)/Apple!E102</f>
        <v>0.15174249757986455</v>
      </c>
      <c r="C102" s="4">
        <f>(Microsoft!D102-Microsoft!E102)/Microsoft!E102</f>
        <v>8.1557598702000994E-2</v>
      </c>
      <c r="D102" s="4">
        <f>(Google!D102-Google!E102)/Google!E102</f>
        <v>0.10954554475094257</v>
      </c>
      <c r="E102" s="4">
        <f>(Amazon!D102-Amazon!E102)/Amazon!E102</f>
        <v>5.7567917205692147E-2</v>
      </c>
      <c r="F102" s="4">
        <f>(NVIDIA!D102-NVIDIA!E102)/NVIDIA!E102</f>
        <v>0.17297297297297298</v>
      </c>
      <c r="G102" s="4">
        <f>('Meta(Facebook)'!D102-'Meta(Facebook)'!E102)/'Meta(Facebook)'!E102</f>
        <v>0.13211537331845158</v>
      </c>
      <c r="H102" s="4">
        <f>('Samsung 005930'!D102-'Samsung 005930'!E102)/'Samsung 005930'!E102</f>
        <v>9.775967413441955E-2</v>
      </c>
      <c r="I102" s="4">
        <f>(Tesla!D102-Tesla!E102)/Tesla!E102</f>
        <v>0.14481623697202417</v>
      </c>
      <c r="J102" s="4">
        <f>(Intel!D102-Intel!E102)/Intel!E102</f>
        <v>0.10196078431372554</v>
      </c>
      <c r="K102" s="4">
        <f>(Tencent!D102-Tencent!E102)/Tencent!E102</f>
        <v>0.12998497283551022</v>
      </c>
    </row>
    <row r="103" spans="1:11" x14ac:dyDescent="0.5">
      <c r="A103" s="3" t="str" cm="1">
        <f t="array" ref="A103">INDEX(Tencent!$A$2:$A$173,ROWS(Tencent!$A$2:$A$173)-ROW(A102)+1)</f>
        <v>11/01/2020</v>
      </c>
      <c r="B103" s="4">
        <f>(Apple!D103-Apple!E103)/Apple!E103</f>
        <v>0.11379482071713148</v>
      </c>
      <c r="C103" s="4">
        <f>(Microsoft!D103-Microsoft!E103)/Microsoft!E103</f>
        <v>0.11872928808136213</v>
      </c>
      <c r="D103" s="4">
        <f>(Google!D103-Google!E103)/Google!E103</f>
        <v>0.10400321866827604</v>
      </c>
      <c r="E103" s="4">
        <f>(Amazon!D103-Amazon!E103)/Amazon!E103</f>
        <v>0.21082199881726796</v>
      </c>
      <c r="F103" s="4">
        <f>(NVIDIA!D103-NVIDIA!E103)/NVIDIA!E103</f>
        <v>0.13688212927756666</v>
      </c>
      <c r="G103" s="4">
        <f>('Meta(Facebook)'!D103-'Meta(Facebook)'!E103)/'Meta(Facebook)'!E103</f>
        <v>0.17666600225898615</v>
      </c>
      <c r="H103" s="4">
        <f>('Samsung 005930'!D103-'Samsung 005930'!E103)/'Samsung 005930'!E103</f>
        <v>0.14322250639386189</v>
      </c>
      <c r="I103" s="4">
        <f>(Tesla!D103-Tesla!E103)/Tesla!E103</f>
        <v>0.26486817903126919</v>
      </c>
      <c r="J103" s="4">
        <f>(Intel!D103-Intel!E103)/Intel!E103</f>
        <v>0.17974201733981815</v>
      </c>
      <c r="K103" s="4">
        <f>(Tencent!D103-Tencent!E103)/Tencent!E103</f>
        <v>0.12830025884383092</v>
      </c>
    </row>
    <row r="104" spans="1:11" x14ac:dyDescent="0.5">
      <c r="A104" s="3" t="str" cm="1">
        <f t="array" ref="A104">INDEX(Tencent!$A$2:$A$173,ROWS(Tencent!$A$2:$A$173)-ROW(A103)+1)</f>
        <v>12/01/2020</v>
      </c>
      <c r="B104" s="4">
        <f>(Apple!D104-Apple!E104)/Apple!E104</f>
        <v>0.11278195488721819</v>
      </c>
      <c r="C104" s="4">
        <f>(Microsoft!D104-Microsoft!E104)/Microsoft!E104</f>
        <v>0.11667432246210377</v>
      </c>
      <c r="D104" s="4">
        <f>(Google!D104-Google!E104)/Google!E104</f>
        <v>0.19735772357723563</v>
      </c>
      <c r="E104" s="4">
        <f>(Amazon!D104-Amazon!E104)/Amazon!E104</f>
        <v>0.18488133606797524</v>
      </c>
      <c r="F104" s="4">
        <f>(NVIDIA!D104-NVIDIA!E104)/NVIDIA!E104</f>
        <v>0.17127071823204432</v>
      </c>
      <c r="G104" s="4">
        <f>('Meta(Facebook)'!D104-'Meta(Facebook)'!E104)/'Meta(Facebook)'!E104</f>
        <v>0.24882566098510256</v>
      </c>
      <c r="H104" s="4">
        <f>('Samsung 005930'!D104-'Samsung 005930'!E104)/'Samsung 005930'!E104</f>
        <v>0.15394853593611357</v>
      </c>
      <c r="I104" s="4">
        <f>(Tesla!D104-Tesla!E104)/Tesla!E104</f>
        <v>0.40422960725075513</v>
      </c>
      <c r="J104" s="4">
        <f>(Intel!D104-Intel!E104)/Intel!E104</f>
        <v>0.14522998296422487</v>
      </c>
      <c r="K104" s="4">
        <f>(Tencent!D104-Tencent!E104)/Tencent!E104</f>
        <v>0.17432765455909136</v>
      </c>
    </row>
    <row r="105" spans="1:11" x14ac:dyDescent="0.5">
      <c r="A105" s="3" t="str" cm="1">
        <f t="array" ref="A105">INDEX(Tencent!$A$2:$A$173,ROWS(Tencent!$A$2:$A$173)-ROW(A104)+1)</f>
        <v>01/01/2021</v>
      </c>
      <c r="B105" s="4">
        <f>(Apple!D105-Apple!E105)/Apple!E105</f>
        <v>0.20207667731629381</v>
      </c>
      <c r="C105" s="4">
        <f>(Microsoft!D105-Microsoft!E105)/Microsoft!E105</f>
        <v>0.1460097817010616</v>
      </c>
      <c r="D105" s="4">
        <f>(Google!D105-Google!E105)/Google!E105</f>
        <v>0.19097291875626873</v>
      </c>
      <c r="E105" s="4">
        <f>(Amazon!D105-Amazon!E105)/Amazon!E105</f>
        <v>0.20742496050552939</v>
      </c>
      <c r="F105" s="4">
        <f>(NVIDIA!D105-NVIDIA!E105)/NVIDIA!E105</f>
        <v>0.23529411764705888</v>
      </c>
      <c r="G105" s="4">
        <f>('Meta(Facebook)'!D105-'Meta(Facebook)'!E105)/'Meta(Facebook)'!E105</f>
        <v>0.16832156956573743</v>
      </c>
      <c r="H105" s="4">
        <f>('Samsung 005930'!D105-'Samsung 005930'!E105)/'Samsung 005930'!E105</f>
        <v>0.14723097703737056</v>
      </c>
      <c r="I105" s="4">
        <f>(Tesla!D105-Tesla!E105)/Tesla!E105</f>
        <v>0.22137404580152681</v>
      </c>
      <c r="J105" s="4">
        <f>(Intel!D105-Intel!E105)/Intel!E105</f>
        <v>0.21075166508087534</v>
      </c>
      <c r="K105" s="4">
        <f>(Tencent!D105-Tencent!E105)/Tencent!E105</f>
        <v>0.17286777332570125</v>
      </c>
    </row>
    <row r="106" spans="1:11" x14ac:dyDescent="0.5">
      <c r="A106" s="3" t="str" cm="1">
        <f t="array" ref="A106">INDEX(Tencent!$A$2:$A$173,ROWS(Tencent!$A$2:$A$173)-ROW(A105)+1)</f>
        <v>02/01/2021</v>
      </c>
      <c r="B106" s="4">
        <f>(Apple!D106-Apple!E106)/Apple!E106</f>
        <v>9.3514695166383319E-2</v>
      </c>
      <c r="C106" s="4">
        <f>(Microsoft!D106-Microsoft!E106)/Microsoft!E106</f>
        <v>0.11637426900584799</v>
      </c>
      <c r="D106" s="4">
        <f>(Google!D106-Google!E106)/Google!E106</f>
        <v>0.13770180436847104</v>
      </c>
      <c r="E106" s="4">
        <f>(Amazon!D106-Amazon!E106)/Amazon!E106</f>
        <v>0.25798735691098573</v>
      </c>
      <c r="F106" s="4">
        <f>(NVIDIA!D106-NVIDIA!E106)/NVIDIA!E106</f>
        <v>0.28189300411522633</v>
      </c>
      <c r="G106" s="4">
        <f>('Meta(Facebook)'!D106-'Meta(Facebook)'!E106)/'Meta(Facebook)'!E106</f>
        <v>8.4527872582479999E-2</v>
      </c>
      <c r="H106" s="4">
        <f>('Samsung 005930'!D106-'Samsung 005930'!E106)/'Samsung 005930'!E106</f>
        <v>0.15782720273738238</v>
      </c>
      <c r="I106" s="4">
        <f>(Tesla!D106-Tesla!E106)/Tesla!E106</f>
        <v>0.17909715407262033</v>
      </c>
      <c r="J106" s="4">
        <f>(Intel!D106-Intel!E106)/Intel!E106</f>
        <v>0.19816211121583421</v>
      </c>
      <c r="K106" s="4">
        <f>(Tencent!D106-Tencent!E106)/Tencent!E106</f>
        <v>0.16927499201533047</v>
      </c>
    </row>
    <row r="107" spans="1:11" x14ac:dyDescent="0.5">
      <c r="A107" s="3" t="str" cm="1">
        <f t="array" ref="A107">INDEX(Tencent!$A$2:$A$173,ROWS(Tencent!$A$2:$A$173)-ROW(A106)+1)</f>
        <v>03/01/2021</v>
      </c>
      <c r="B107" s="4">
        <f>(Apple!D107-Apple!E107)/Apple!E107</f>
        <v>6.4392119173474288E-2</v>
      </c>
      <c r="C107" s="4">
        <f>(Microsoft!D107-Microsoft!E107)/Microsoft!E107</f>
        <v>8.4262701363073067E-2</v>
      </c>
      <c r="D107" s="4">
        <f>(Google!D107-Google!E107)/Google!E107</f>
        <v>8.379888268156431E-2</v>
      </c>
      <c r="E107" s="4">
        <f>(Amazon!D107-Amazon!E107)/Amazon!E107</f>
        <v>6.2233285917496439E-2</v>
      </c>
      <c r="F107" s="4">
        <f>(NVIDIA!D107-NVIDIA!E107)/NVIDIA!E107</f>
        <v>0.11086474501108648</v>
      </c>
      <c r="G107" s="4">
        <f>('Meta(Facebook)'!D107-'Meta(Facebook)'!E107)/'Meta(Facebook)'!E107</f>
        <v>7.851606413821674E-2</v>
      </c>
      <c r="H107" s="4">
        <f>('Samsung 005930'!D107-'Samsung 005930'!E107)/'Samsung 005930'!E107</f>
        <v>8.464730290456432E-2</v>
      </c>
      <c r="I107" s="4">
        <f>(Tesla!D107-Tesla!E107)/Tesla!E107</f>
        <v>0.158</v>
      </c>
      <c r="J107" s="4">
        <f>(Intel!D107-Intel!E107)/Intel!E107</f>
        <v>0.11647527536911176</v>
      </c>
      <c r="K107" s="4">
        <f>(Tencent!D107-Tencent!E107)/Tencent!E107</f>
        <v>0.12488488845319794</v>
      </c>
    </row>
    <row r="108" spans="1:11" x14ac:dyDescent="0.5">
      <c r="A108" s="3" t="str" cm="1">
        <f t="array" ref="A108">INDEX(Tencent!$A$2:$A$173,ROWS(Tencent!$A$2:$A$173)-ROW(A107)+1)</f>
        <v>04/01/2021</v>
      </c>
      <c r="B108" s="4">
        <f>(Apple!D108-Apple!E108)/Apple!E108</f>
        <v>6.6311713455953575E-2</v>
      </c>
      <c r="C108" s="4">
        <f>(Microsoft!D108-Microsoft!E108)/Microsoft!E108</f>
        <v>3.4289883268482584E-2</v>
      </c>
      <c r="D108" s="4">
        <f>(Google!D108-Google!E108)/Google!E108</f>
        <v>4.9970834143496019E-2</v>
      </c>
      <c r="E108" s="4">
        <f>(Amazon!D108-Amazon!E108)/Amazon!E108</f>
        <v>0.11648877438351118</v>
      </c>
      <c r="F108" s="4">
        <f>(NVIDIA!D108-NVIDIA!E108)/NVIDIA!E108</f>
        <v>0.14435146443514632</v>
      </c>
      <c r="G108" s="4">
        <f>('Meta(Facebook)'!D108-'Meta(Facebook)'!E108)/'Meta(Facebook)'!E108</f>
        <v>5.8908045977011492E-2</v>
      </c>
      <c r="H108" s="4">
        <f>('Samsung 005930'!D108-'Samsung 005930'!E108)/'Samsung 005930'!E108</f>
        <v>0.14581673306772908</v>
      </c>
      <c r="I108" s="4">
        <f>(Tesla!D108-Tesla!E108)/Tesla!E108</f>
        <v>0.13634033828805742</v>
      </c>
      <c r="J108" s="4">
        <f>(Intel!D108-Intel!E108)/Intel!E108</f>
        <v>8.0648846241717934E-2</v>
      </c>
      <c r="K108" s="4">
        <f>(Tencent!D108-Tencent!E108)/Tencent!E108</f>
        <v>0.25026226473310692</v>
      </c>
    </row>
    <row r="109" spans="1:11" x14ac:dyDescent="0.5">
      <c r="A109" s="3" t="str" cm="1">
        <f t="array" ref="A109">INDEX(Tencent!$A$2:$A$173,ROWS(Tencent!$A$2:$A$173)-ROW(A108)+1)</f>
        <v>05/01/2021</v>
      </c>
      <c r="B109" s="4">
        <f>(Apple!D109-Apple!E109)/Apple!E109</f>
        <v>0.11253934942287512</v>
      </c>
      <c r="C109" s="4">
        <f>(Microsoft!D109-Microsoft!E109)/Microsoft!E109</f>
        <v>0.16944783611450293</v>
      </c>
      <c r="D109" s="4">
        <f>(Google!D109-Google!E109)/Google!E109</f>
        <v>0.10561330561330558</v>
      </c>
      <c r="E109" s="4">
        <f>(Amazon!D109-Amazon!E109)/Amazon!E109</f>
        <v>0.18139730639730633</v>
      </c>
      <c r="F109" s="4">
        <f>(NVIDIA!D109-NVIDIA!E109)/NVIDIA!E109</f>
        <v>0.17381489841986467</v>
      </c>
      <c r="G109" s="4">
        <f>('Meta(Facebook)'!D109-'Meta(Facebook)'!E109)/'Meta(Facebook)'!E109</f>
        <v>7.4335967674847112E-2</v>
      </c>
      <c r="H109" s="4">
        <f>('Samsung 005930'!D109-'Samsung 005930'!E109)/'Samsung 005930'!E109</f>
        <v>6.3291139240506333E-2</v>
      </c>
      <c r="I109" s="4">
        <f>(Tesla!D109-Tesla!E109)/Tesla!E109</f>
        <v>0.14637612505921363</v>
      </c>
      <c r="J109" s="4">
        <f>(Intel!D109-Intel!E109)/Intel!E109</f>
        <v>0.20273109243697476</v>
      </c>
      <c r="K109" s="4">
        <f>(Tencent!D109-Tencent!E109)/Tencent!E109</f>
        <v>4.3384361303436342E-2</v>
      </c>
    </row>
    <row r="110" spans="1:11" x14ac:dyDescent="0.5">
      <c r="A110" s="3" t="str" cm="1">
        <f t="array" ref="A110">INDEX(Tencent!$A$2:$A$173,ROWS(Tencent!$A$2:$A$173)-ROW(A109)+1)</f>
        <v>06/01/2021</v>
      </c>
      <c r="B110" s="4">
        <f>(Apple!D110-Apple!E110)/Apple!E110</f>
        <v>0.10565835344596401</v>
      </c>
      <c r="C110" s="4">
        <f>(Microsoft!D110-Microsoft!E110)/Microsoft!E110</f>
        <v>4.1826659352715262E-2</v>
      </c>
      <c r="D110" s="4">
        <f>(Google!D110-Google!E110)/Google!E110</f>
        <v>5.5375297425913961E-2</v>
      </c>
      <c r="E110" s="4">
        <f>(Amazon!D110-Amazon!E110)/Amazon!E110</f>
        <v>7.3191672032624944E-2</v>
      </c>
      <c r="F110" s="4">
        <f>(NVIDIA!D110-NVIDIA!E110)/NVIDIA!E110</f>
        <v>0.17444717444717442</v>
      </c>
      <c r="G110" s="4">
        <f>('Meta(Facebook)'!D110-'Meta(Facebook)'!E110)/'Meta(Facebook)'!E110</f>
        <v>7.6999257241891536E-2</v>
      </c>
      <c r="H110" s="4">
        <f>('Samsung 005930'!D110-'Samsung 005930'!E110)/'Samsung 005930'!E110</f>
        <v>0.17978021978021977</v>
      </c>
      <c r="I110" s="4">
        <f>(Tesla!D110-Tesla!E110)/Tesla!E110</f>
        <v>0.16144901610017887</v>
      </c>
      <c r="J110" s="4">
        <f>(Intel!D110-Intel!E110)/Intel!E110</f>
        <v>9.2184368737474917E-2</v>
      </c>
      <c r="K110" s="4">
        <f>(Tencent!D110-Tencent!E110)/Tencent!E110</f>
        <v>9.5238095238095372E-2</v>
      </c>
    </row>
    <row r="111" spans="1:11" x14ac:dyDescent="0.5">
      <c r="A111" s="3" t="str" cm="1">
        <f t="array" ref="A111">INDEX(Tencent!$A$2:$A$173,ROWS(Tencent!$A$2:$A$173)-ROW(A110)+1)</f>
        <v>07/01/2021</v>
      </c>
      <c r="B111" s="4">
        <f>(Apple!D111-Apple!E111)/Apple!E111</f>
        <v>0.10862533692722375</v>
      </c>
      <c r="C111" s="4">
        <f>(Microsoft!D111-Microsoft!E111)/Microsoft!E111</f>
        <v>5.1627384960718191E-2</v>
      </c>
      <c r="D111" s="4">
        <f>(Google!D111-Google!E111)/Google!E111</f>
        <v>4.2020465926409747E-2</v>
      </c>
      <c r="E111" s="4">
        <f>(Amazon!D111-Amazon!E111)/Amazon!E111</f>
        <v>7.4754378470739E-2</v>
      </c>
      <c r="F111" s="4">
        <f>(NVIDIA!D111-NVIDIA!E111)/NVIDIA!E111</f>
        <v>0.14136125654450274</v>
      </c>
      <c r="G111" s="4">
        <f>('Meta(Facebook)'!D111-'Meta(Facebook)'!E111)/'Meta(Facebook)'!E111</f>
        <v>4.8787878787878859E-2</v>
      </c>
      <c r="H111" s="4">
        <f>('Samsung 005930'!D111-'Samsung 005930'!E111)/'Samsung 005930'!E111</f>
        <v>0.11578471279963817</v>
      </c>
      <c r="I111" s="4">
        <f>(Tesla!D111-Tesla!E111)/Tesla!E111</f>
        <v>0.1889156626506025</v>
      </c>
      <c r="J111" s="4">
        <f>(Intel!D111-Intel!E111)/Intel!E111</f>
        <v>6.7481093659104138E-2</v>
      </c>
      <c r="K111" s="4">
        <f>(Tencent!D111-Tencent!E111)/Tencent!E111</f>
        <v>0.10711895452463992</v>
      </c>
    </row>
    <row r="112" spans="1:11" x14ac:dyDescent="0.5">
      <c r="A112" s="3" t="str" cm="1">
        <f t="array" ref="A112">INDEX(Tencent!$A$2:$A$173,ROWS(Tencent!$A$2:$A$173)-ROW(A111)+1)</f>
        <v>08/01/2021</v>
      </c>
      <c r="B112" s="4">
        <f>(Apple!D112-Apple!E112)/Apple!E112</f>
        <v>8.1460674157303334E-2</v>
      </c>
      <c r="C112" s="4">
        <f>(Microsoft!D112-Microsoft!E112)/Microsoft!E112</f>
        <v>9.4089973537195032E-2</v>
      </c>
      <c r="D112" s="4">
        <f>(Google!D112-Google!E112)/Google!E112</f>
        <v>9.919161022503821E-2</v>
      </c>
      <c r="E112" s="4">
        <f>(Amazon!D112-Amazon!E112)/Amazon!E112</f>
        <v>0.1392218717139854</v>
      </c>
      <c r="F112" s="4">
        <f>(NVIDIA!D112-NVIDIA!E112)/NVIDIA!E112</f>
        <v>0.22832369942196534</v>
      </c>
      <c r="G112" s="4">
        <f>('Meta(Facebook)'!D112-'Meta(Facebook)'!E112)/'Meta(Facebook)'!E112</f>
        <v>0.18734776725304461</v>
      </c>
      <c r="H112" s="4">
        <f>('Samsung 005930'!D112-'Samsung 005930'!E112)/'Samsung 005930'!E112</f>
        <v>9.7050021376656692E-2</v>
      </c>
      <c r="I112" s="4">
        <f>(Tesla!D112-Tesla!E112)/Tesla!E112</f>
        <v>0.22513607125185553</v>
      </c>
      <c r="J112" s="4">
        <f>(Intel!D112-Intel!E112)/Intel!E112</f>
        <v>7.9145350586819221E-2</v>
      </c>
      <c r="K112" s="4">
        <f>(Tencent!D112-Tencent!E112)/Tencent!E112</f>
        <v>0.20740802466563907</v>
      </c>
    </row>
    <row r="113" spans="1:11" x14ac:dyDescent="0.5">
      <c r="A113" s="3" t="str" cm="1">
        <f t="array" ref="A113">INDEX(Tencent!$A$2:$A$173,ROWS(Tencent!$A$2:$A$173)-ROW(A112)+1)</f>
        <v>09/01/2021</v>
      </c>
      <c r="B113" s="4">
        <f>(Apple!D113-Apple!E113)/Apple!E113</f>
        <v>9.6765119549929821E-2</v>
      </c>
      <c r="C113" s="4">
        <f>(Microsoft!D113-Microsoft!E113)/Microsoft!E113</f>
        <v>7.0494933176677876E-2</v>
      </c>
      <c r="D113" s="4">
        <f>(Google!D113-Google!E113)/Google!E113</f>
        <v>8.4982788296041376E-2</v>
      </c>
      <c r="E113" s="4">
        <f>(Amazon!D113-Amazon!E113)/Amazon!E113</f>
        <v>9.7087378640776698E-2</v>
      </c>
      <c r="F113" s="4">
        <f>(NVIDIA!D113-NVIDIA!E113)/NVIDIA!E113</f>
        <v>0.18591549295774654</v>
      </c>
      <c r="G113" s="4">
        <f>('Meta(Facebook)'!D113-'Meta(Facebook)'!E113)/'Meta(Facebook)'!E113</f>
        <v>8.2595462091864955E-2</v>
      </c>
      <c r="H113" s="4">
        <f>('Samsung 005930'!D113-'Samsung 005930'!E113)/'Samsung 005930'!E113</f>
        <v>9.0090090090090086E-2</v>
      </c>
      <c r="I113" s="4">
        <f>(Tesla!D113-Tesla!E113)/Tesla!E113</f>
        <v>0.15798922800718129</v>
      </c>
      <c r="J113" s="4">
        <f>(Intel!D113-Intel!E113)/Intel!E113</f>
        <v>9.688062387522485E-2</v>
      </c>
      <c r="K113" s="4">
        <f>(Tencent!D113-Tencent!E113)/Tencent!E113</f>
        <v>9.7386781158403185E-2</v>
      </c>
    </row>
    <row r="114" spans="1:11" x14ac:dyDescent="0.5">
      <c r="A114" s="3" t="str" cm="1">
        <f t="array" ref="A114">INDEX(Tencent!$A$2:$A$173,ROWS(Tencent!$A$2:$A$173)-ROW(A113)+1)</f>
        <v>10/01/2021</v>
      </c>
      <c r="B114" s="4">
        <f>(Apple!D114-Apple!E114)/Apple!E114</f>
        <v>8.5666759079567403E-2</v>
      </c>
      <c r="C114" s="4">
        <f>(Microsoft!D114-Microsoft!E114)/Microsoft!E114</f>
        <v>5.361930294906158E-2</v>
      </c>
      <c r="D114" s="4">
        <f>(Google!D114-Google!E114)/Google!E114</f>
        <v>8.5577758470894827E-2</v>
      </c>
      <c r="E114" s="4">
        <f>(Amazon!D114-Amazon!E114)/Amazon!E114</f>
        <v>7.9111877559818966E-2</v>
      </c>
      <c r="F114" s="4">
        <f>(NVIDIA!D114-NVIDIA!E114)/NVIDIA!E114</f>
        <v>0.43359374999999994</v>
      </c>
      <c r="G114" s="4">
        <f>('Meta(Facebook)'!D114-'Meta(Facebook)'!E114)/'Meta(Facebook)'!E114</f>
        <v>6.3564603240548453E-2</v>
      </c>
      <c r="H114" s="4">
        <f>('Samsung 005930'!D114-'Samsung 005930'!E114)/'Samsung 005930'!E114</f>
        <v>6.3513513513513517E-2</v>
      </c>
      <c r="I114" s="4">
        <f>(Tesla!D114-Tesla!E114)/Tesla!E114</f>
        <v>0.17956656346749228</v>
      </c>
      <c r="J114" s="4">
        <f>(Intel!D114-Intel!E114)/Intel!E114</f>
        <v>6.1393489434608747E-2</v>
      </c>
      <c r="K114" s="4">
        <f>(Tencent!D114-Tencent!E114)/Tencent!E114</f>
        <v>0.16045228159913846</v>
      </c>
    </row>
    <row r="115" spans="1:11" x14ac:dyDescent="0.5">
      <c r="A115" s="3" t="str" cm="1">
        <f t="array" ref="A115">INDEX(Tencent!$A$2:$A$173,ROWS(Tencent!$A$2:$A$173)-ROW(A114)+1)</f>
        <v>11/01/2021</v>
      </c>
      <c r="B115" s="4">
        <f>(Apple!D115-Apple!E115)/Apple!E115</f>
        <v>3.8549400342661168E-2</v>
      </c>
      <c r="C115" s="4">
        <f>(Microsoft!D115-Microsoft!E115)/Microsoft!E115</f>
        <v>6.6152659984579906E-2</v>
      </c>
      <c r="D115" s="4">
        <f>(Google!D115-Google!E115)/Google!E115</f>
        <v>0.12125569134914936</v>
      </c>
      <c r="E115" s="4">
        <f>(Amazon!D115-Amazon!E115)/Amazon!E115</f>
        <v>7.3722297602894574E-2</v>
      </c>
      <c r="F115" s="4">
        <f>(NVIDIA!D115-NVIDIA!E115)/NVIDIA!E115</f>
        <v>0.14644351464435149</v>
      </c>
      <c r="G115" s="4">
        <f>('Meta(Facebook)'!D115-'Meta(Facebook)'!E115)/'Meta(Facebook)'!E115</f>
        <v>9.1636049275988757E-2</v>
      </c>
      <c r="H115" s="4">
        <f>('Samsung 005930'!D115-'Samsung 005930'!E115)/'Samsung 005930'!E115</f>
        <v>0.14271457085828343</v>
      </c>
      <c r="I115" s="4">
        <f>(Tesla!D115-Tesla!E115)/Tesla!E115</f>
        <v>0.10648392198207694</v>
      </c>
      <c r="J115" s="4">
        <f>(Intel!D115-Intel!E115)/Intel!E115</f>
        <v>6.503834138028966E-2</v>
      </c>
      <c r="K115" s="4">
        <f>(Tencent!D115-Tencent!E115)/Tencent!E115</f>
        <v>0.10161471291282494</v>
      </c>
    </row>
    <row r="116" spans="1:11" x14ac:dyDescent="0.5">
      <c r="A116" s="3" t="str" cm="1">
        <f t="array" ref="A116">INDEX(Tencent!$A$2:$A$173,ROWS(Tencent!$A$2:$A$173)-ROW(A115)+1)</f>
        <v>12/01/2021</v>
      </c>
      <c r="B116" s="4">
        <f>(Apple!D116-Apple!E116)/Apple!E116</f>
        <v>5.4290718038528883E-2</v>
      </c>
      <c r="C116" s="4">
        <f>(Microsoft!D116-Microsoft!E116)/Microsoft!E116</f>
        <v>4.039610185476266E-2</v>
      </c>
      <c r="D116" s="4">
        <f>(Google!D116-Google!E116)/Google!E116</f>
        <v>6.0650169820475497E-2</v>
      </c>
      <c r="E116" s="4">
        <f>(Amazon!D116-Amazon!E116)/Amazon!E116</f>
        <v>6.8394528437725019E-2</v>
      </c>
      <c r="F116" s="4">
        <f>(NVIDIA!D116-NVIDIA!E116)/NVIDIA!E116</f>
        <v>0.15546218487394964</v>
      </c>
      <c r="G116" s="4">
        <f>('Meta(Facebook)'!D116-'Meta(Facebook)'!E116)/'Meta(Facebook)'!E116</f>
        <v>5.0485008818341968E-2</v>
      </c>
      <c r="H116" s="4">
        <f>('Samsung 005930'!D116-'Samsung 005930'!E116)/'Samsung 005930'!E116</f>
        <v>0.11087975013014055</v>
      </c>
      <c r="I116" s="4">
        <f>(Tesla!D116-Tesla!E116)/Tesla!E116</f>
        <v>0.16121062384187765</v>
      </c>
      <c r="J116" s="4">
        <f>(Intel!D116-Intel!E116)/Intel!E116</f>
        <v>4.7316791690709771E-2</v>
      </c>
      <c r="K116" s="4">
        <f>(Tencent!D116-Tencent!E116)/Tencent!E116</f>
        <v>0.12735773869613728</v>
      </c>
    </row>
    <row r="117" spans="1:11" x14ac:dyDescent="0.5">
      <c r="A117" s="3" t="str" cm="1">
        <f t="array" ref="A117">INDEX(Tencent!$A$2:$A$173,ROWS(Tencent!$A$2:$A$173)-ROW(A116)+1)</f>
        <v>01/01/2022</v>
      </c>
      <c r="B117" s="4">
        <f>(Apple!D117-Apple!E117)/Apple!E117</f>
        <v>8.2519685039370003E-2</v>
      </c>
      <c r="C117" s="4">
        <f>(Microsoft!D117-Microsoft!E117)/Microsoft!E117</f>
        <v>3.9681274900398328E-2</v>
      </c>
      <c r="D117" s="4">
        <f>(Google!D117-Google!E117)/Google!E117</f>
        <v>5.1477832512315178E-2</v>
      </c>
      <c r="E117" s="4">
        <f>(Amazon!D117-Amazon!E117)/Amazon!E117</f>
        <v>7.1980074719800766E-2</v>
      </c>
      <c r="F117" s="4">
        <f>(NVIDIA!D117-NVIDIA!E117)/NVIDIA!E117</f>
        <v>0.2635983263598326</v>
      </c>
      <c r="G117" s="4">
        <f>('Meta(Facebook)'!D117-'Meta(Facebook)'!E117)/'Meta(Facebook)'!E117</f>
        <v>5.2801227935533344E-2</v>
      </c>
      <c r="H117" s="4">
        <f>('Samsung 005930'!D117-'Samsung 005930'!E117)/'Samsung 005930'!E117</f>
        <v>6.9579288025889974E-2</v>
      </c>
      <c r="I117" s="4">
        <f>(Tesla!D117-Tesla!E117)/Tesla!E117</f>
        <v>0.18784872907625549</v>
      </c>
      <c r="J117" s="4">
        <f>(Intel!D117-Intel!E117)/Intel!E117</f>
        <v>6.0562571756601583E-2</v>
      </c>
      <c r="K117" s="4">
        <f>(Tencent!D117-Tencent!E117)/Tencent!E117</f>
        <v>7.7696131402636662E-2</v>
      </c>
    </row>
    <row r="118" spans="1:11" x14ac:dyDescent="0.5">
      <c r="A118" s="3" t="str" cm="1">
        <f t="array" ref="A118">INDEX(Tencent!$A$2:$A$173,ROWS(Tencent!$A$2:$A$173)-ROW(A117)+1)</f>
        <v>02/01/2022</v>
      </c>
      <c r="B118" s="4">
        <f>(Apple!D118-Apple!E118)/Apple!E118</f>
        <v>6.6922272568839244E-2</v>
      </c>
      <c r="C118" s="4">
        <f>(Microsoft!D118-Microsoft!E118)/Microsoft!E118</f>
        <v>6.3922518159806194E-2</v>
      </c>
      <c r="D118" s="4">
        <f>(Google!D118-Google!E118)/Google!E118</f>
        <v>8.8102409638554161E-2</v>
      </c>
      <c r="E118" s="4">
        <f>(Amazon!D118-Amazon!E118)/Amazon!E118</f>
        <v>0.12867843766720158</v>
      </c>
      <c r="F118" s="4">
        <f>(NVIDIA!D118-NVIDIA!E118)/NVIDIA!E118</f>
        <v>0.12903225806451607</v>
      </c>
      <c r="G118" s="4">
        <f>('Meta(Facebook)'!D118-'Meta(Facebook)'!E118)/'Meta(Facebook)'!E118</f>
        <v>0.15262747814042057</v>
      </c>
      <c r="H118" s="4">
        <f>('Samsung 005930'!D118-'Samsung 005930'!E118)/'Samsung 005930'!E118</f>
        <v>0.12549240292628025</v>
      </c>
      <c r="I118" s="4">
        <f>(Tesla!D118-Tesla!E118)/Tesla!E118</f>
        <v>0.22546230440967283</v>
      </c>
      <c r="J118" s="4">
        <f>(Intel!D118-Intel!E118)/Intel!E118</f>
        <v>6.2448190107764721E-2</v>
      </c>
      <c r="K118" s="4">
        <f>(Tencent!D118-Tencent!E118)/Tencent!E118</f>
        <v>9.3605724838411813E-2</v>
      </c>
    </row>
    <row r="119" spans="1:11" x14ac:dyDescent="0.5">
      <c r="A119" s="3" t="str" cm="1">
        <f t="array" ref="A119">INDEX(Tencent!$A$2:$A$173,ROWS(Tencent!$A$2:$A$173)-ROW(A118)+1)</f>
        <v>03/01/2022</v>
      </c>
      <c r="B119" s="4">
        <f>(Apple!D119-Apple!E119)/Apple!E119</f>
        <v>9.0169992609017049E-2</v>
      </c>
      <c r="C119" s="4">
        <f>(Microsoft!D119-Microsoft!E119)/Microsoft!E119</f>
        <v>9.0136054421768669E-2</v>
      </c>
      <c r="D119" s="4">
        <f>(Google!D119-Google!E119)/Google!E119</f>
        <v>9.4239447836474574E-2</v>
      </c>
      <c r="E119" s="4">
        <f>(Amazon!D119-Amazon!E119)/Amazon!E119</f>
        <v>6.2177572631007309E-2</v>
      </c>
      <c r="F119" s="4">
        <f>(NVIDIA!D119-NVIDIA!E119)/NVIDIA!E119</f>
        <v>0.41509433962264142</v>
      </c>
      <c r="G119" s="4">
        <f>('Meta(Facebook)'!D119-'Meta(Facebook)'!E119)/'Meta(Facebook)'!E119</f>
        <v>7.4561403508771926E-2</v>
      </c>
      <c r="H119" s="4">
        <f>('Samsung 005930'!D119-'Samsung 005930'!E119)/'Samsung 005930'!E119</f>
        <v>7.2056239015817217E-2</v>
      </c>
      <c r="I119" s="4">
        <f>(Tesla!D119-Tesla!E119)/Tesla!E119</f>
        <v>0.24333333333333332</v>
      </c>
      <c r="J119" s="4">
        <f>(Intel!D119-Intel!E119)/Intel!E119</f>
        <v>0.1126340882002384</v>
      </c>
      <c r="K119" s="4">
        <f>(Tencent!D119-Tencent!E119)/Tencent!E119</f>
        <v>8.795457291289116E-2</v>
      </c>
    </row>
    <row r="120" spans="1:11" x14ac:dyDescent="0.5">
      <c r="A120" s="3" t="str" cm="1">
        <f t="array" ref="A120">INDEX(Tencent!$A$2:$A$173,ROWS(Tencent!$A$2:$A$173)-ROW(A119)+1)</f>
        <v>04/01/2022</v>
      </c>
      <c r="B120" s="4">
        <f>(Apple!D120-Apple!E120)/Apple!E120</f>
        <v>9.3005380476556557E-2</v>
      </c>
      <c r="C120" s="4">
        <f>(Microsoft!D120-Microsoft!E120)/Microsoft!E120</f>
        <v>7.2101955307262489E-2</v>
      </c>
      <c r="D120" s="4">
        <f>(Google!D120-Google!E120)/Google!E120</f>
        <v>9.7364174287251137E-2</v>
      </c>
      <c r="E120" s="4">
        <f>(Amazon!D120-Amazon!E120)/Amazon!E120</f>
        <v>0.12756969867642923</v>
      </c>
      <c r="F120" s="4">
        <f>(NVIDIA!D120-NVIDIA!E120)/NVIDIA!E120</f>
        <v>0.43373493975903615</v>
      </c>
      <c r="G120" s="4">
        <f>('Meta(Facebook)'!D120-'Meta(Facebook)'!E120)/'Meta(Facebook)'!E120</f>
        <v>0.16195508586525761</v>
      </c>
      <c r="H120" s="4">
        <f>('Samsung 005930'!D120-'Samsung 005930'!E120)/'Samsung 005930'!E120</f>
        <v>0.13515269655620532</v>
      </c>
      <c r="I120" s="4">
        <f>(Tesla!D120-Tesla!E120)/Tesla!E120</f>
        <v>0.11868686868686854</v>
      </c>
      <c r="J120" s="4">
        <f>(Intel!D120-Intel!E120)/Intel!E120</f>
        <v>6.7025733093955556E-2</v>
      </c>
      <c r="K120" s="4">
        <f>(Tencent!D120-Tencent!E120)/Tencent!E120</f>
        <v>0.10488990563340007</v>
      </c>
    </row>
    <row r="121" spans="1:11" x14ac:dyDescent="0.5">
      <c r="A121" s="3" t="str" cm="1">
        <f t="array" ref="A121">INDEX(Tencent!$A$2:$A$173,ROWS(Tencent!$A$2:$A$173)-ROW(A120)+1)</f>
        <v>05/01/2022</v>
      </c>
      <c r="B121" s="4">
        <f>(Apple!D121-Apple!E121)/Apple!E121</f>
        <v>5.7000356252226624E-2</v>
      </c>
      <c r="C121" s="4">
        <f>(Microsoft!D121-Microsoft!E121)/Microsoft!E121</f>
        <v>8.9859705203338566E-2</v>
      </c>
      <c r="D121" s="4">
        <f>(Google!D121-Google!E121)/Google!E121</f>
        <v>5.3755337854810362E-2</v>
      </c>
      <c r="E121" s="4">
        <f>(Amazon!D121-Amazon!E121)/Amazon!E121</f>
        <v>9.372579395817203E-2</v>
      </c>
      <c r="F121" s="4">
        <f>(NVIDIA!D121-NVIDIA!E121)/NVIDIA!E121</f>
        <v>0.14465408805031443</v>
      </c>
      <c r="G121" s="4">
        <f>('Meta(Facebook)'!D121-'Meta(Facebook)'!E121)/'Meta(Facebook)'!E121</f>
        <v>5.3254437869822487E-2</v>
      </c>
      <c r="H121" s="4">
        <f>('Samsung 005930'!D121-'Samsung 005930'!E121)/'Samsung 005930'!E121</f>
        <v>0.14859437751004015</v>
      </c>
      <c r="I121" s="4">
        <f>(Tesla!D121-Tesla!E121)/Tesla!E121</f>
        <v>0.12343750000000001</v>
      </c>
      <c r="J121" s="4">
        <f>(Intel!D121-Intel!E121)/Intel!E121</f>
        <v>0.10515701526937478</v>
      </c>
      <c r="K121" s="4">
        <f>(Tencent!D121-Tencent!E121)/Tencent!E121</f>
        <v>6.3395548035742655E-2</v>
      </c>
    </row>
    <row r="122" spans="1:11" x14ac:dyDescent="0.5">
      <c r="A122" s="3" t="str" cm="1">
        <f t="array" ref="A122">INDEX(Tencent!$A$2:$A$173,ROWS(Tencent!$A$2:$A$173)-ROW(A121)+1)</f>
        <v>06/01/2022</v>
      </c>
      <c r="B122" s="4">
        <f>(Apple!D122-Apple!E122)/Apple!E122</f>
        <v>0.13343737807257128</v>
      </c>
      <c r="C122" s="4">
        <f>(Microsoft!D122-Microsoft!E122)/Microsoft!E122</f>
        <v>4.6394533357309808E-2</v>
      </c>
      <c r="D122" s="4">
        <f>(Google!D122-Google!E122)/Google!E122</f>
        <v>4.5442941026295661E-2</v>
      </c>
      <c r="E122" s="4">
        <f>(Amazon!D122-Amazon!E122)/Amazon!E122</f>
        <v>0.11111111111111119</v>
      </c>
      <c r="F122" s="4">
        <f>(NVIDIA!D122-NVIDIA!E122)/NVIDIA!E122</f>
        <v>0.20979020979020982</v>
      </c>
      <c r="G122" s="4">
        <f>('Meta(Facebook)'!D122-'Meta(Facebook)'!E122)/'Meta(Facebook)'!E122</f>
        <v>5.0796178343949012E-2</v>
      </c>
      <c r="H122" s="4">
        <f>('Samsung 005930'!D122-'Samsung 005930'!E122)/'Samsung 005930'!E122</f>
        <v>0.13461538461538461</v>
      </c>
      <c r="I122" s="4">
        <f>(Tesla!D122-Tesla!E122)/Tesla!E122</f>
        <v>9.0697674418604643E-2</v>
      </c>
      <c r="J122" s="4">
        <f>(Intel!D122-Intel!E122)/Intel!E122</f>
        <v>8.5282373074728884E-2</v>
      </c>
      <c r="K122" s="4">
        <f>(Tencent!D122-Tencent!E122)/Tencent!E122</f>
        <v>9.9578560622433421E-2</v>
      </c>
    </row>
    <row r="123" spans="1:11" x14ac:dyDescent="0.5">
      <c r="A123" s="3" t="str" cm="1">
        <f t="array" ref="A123">INDEX(Tencent!$A$2:$A$173,ROWS(Tencent!$A$2:$A$173)-ROW(A122)+1)</f>
        <v>07/01/2022</v>
      </c>
      <c r="B123" s="4">
        <f>(Apple!D123-Apple!E123)/Apple!E123</f>
        <v>5.9999999999999949E-2</v>
      </c>
      <c r="C123" s="4">
        <f>(Microsoft!D123-Microsoft!E123)/Microsoft!E123</f>
        <v>4.5600285001781302E-2</v>
      </c>
      <c r="D123" s="4">
        <f>(Google!D123-Google!E123)/Google!E123</f>
        <v>3.6687898089171916E-2</v>
      </c>
      <c r="E123" s="4">
        <f>(Amazon!D123-Amazon!E123)/Amazon!E123</f>
        <v>3.2782515991471133E-2</v>
      </c>
      <c r="F123" s="4">
        <f>(NVIDIA!D123-NVIDIA!E123)/NVIDIA!E123</f>
        <v>0.14388489208633107</v>
      </c>
      <c r="G123" s="4">
        <f>('Meta(Facebook)'!D123-'Meta(Facebook)'!E123)/'Meta(Facebook)'!E123</f>
        <v>3.8174817727533471E-2</v>
      </c>
      <c r="H123" s="4">
        <f>('Samsung 005930'!D123-'Samsung 005930'!E123)/'Samsung 005930'!E123</f>
        <v>0.11667765326301911</v>
      </c>
      <c r="I123" s="4">
        <f>(Tesla!D123-Tesla!E123)/Tesla!E123</f>
        <v>0.13443565780014372</v>
      </c>
      <c r="J123" s="4">
        <f>(Intel!D123-Intel!E123)/Intel!E123</f>
        <v>5.6192997940570651E-2</v>
      </c>
      <c r="K123" s="4">
        <f>(Tencent!D123-Tencent!E123)/Tencent!E123</f>
        <v>0.13168748879191824</v>
      </c>
    </row>
    <row r="124" spans="1:11" x14ac:dyDescent="0.5">
      <c r="A124" s="3" t="str" cm="1">
        <f t="array" ref="A124">INDEX(Tencent!$A$2:$A$173,ROWS(Tencent!$A$2:$A$173)-ROW(A123)+1)</f>
        <v>08/01/2022</v>
      </c>
      <c r="B124" s="4">
        <f>(Apple!D124-Apple!E124)/Apple!E124</f>
        <v>0.10809665112335738</v>
      </c>
      <c r="C124" s="4">
        <f>(Microsoft!D124-Microsoft!E124)/Microsoft!E124</f>
        <v>0.13693193093867828</v>
      </c>
      <c r="D124" s="4">
        <f>(Google!D124-Google!E124)/Google!E124</f>
        <v>0.15021459227467809</v>
      </c>
      <c r="E124" s="4">
        <f>(Amazon!D124-Amazon!E124)/Amazon!E124</f>
        <v>6.8936645269327357E-2</v>
      </c>
      <c r="F124" s="4">
        <f>(NVIDIA!D124-NVIDIA!E124)/NVIDIA!E124</f>
        <v>0.24347826086956526</v>
      </c>
      <c r="G124" s="4">
        <f>('Meta(Facebook)'!D124-'Meta(Facebook)'!E124)/'Meta(Facebook)'!E124</f>
        <v>0.13596530052226266</v>
      </c>
      <c r="H124" s="4">
        <f>('Samsung 005930'!D124-'Samsung 005930'!E124)/'Samsung 005930'!E124</f>
        <v>0.10269121813031161</v>
      </c>
      <c r="I124" s="4">
        <f>(Tesla!D124-Tesla!E124)/Tesla!E124</f>
        <v>0.14275309541150757</v>
      </c>
      <c r="J124" s="4">
        <f>(Intel!D124-Intel!E124)/Intel!E124</f>
        <v>0.1096355775169857</v>
      </c>
      <c r="K124" s="4">
        <f>(Tencent!D124-Tencent!E124)/Tencent!E124</f>
        <v>9.7077637024959168E-2</v>
      </c>
    </row>
    <row r="125" spans="1:11" x14ac:dyDescent="0.5">
      <c r="A125" s="3" t="str" cm="1">
        <f t="array" ref="A125">INDEX(Tencent!$A$2:$A$173,ROWS(Tencent!$A$2:$A$173)-ROW(A124)+1)</f>
        <v>09/01/2022</v>
      </c>
      <c r="B125" s="4">
        <f>(Apple!D125-Apple!E125)/Apple!E125</f>
        <v>0.1131993006993007</v>
      </c>
      <c r="C125" s="4">
        <f>(Microsoft!D125-Microsoft!E125)/Microsoft!E125</f>
        <v>0.10243597751405376</v>
      </c>
      <c r="D125" s="4">
        <f>(Google!D125-Google!E125)/Google!E125</f>
        <v>0.11715730002973528</v>
      </c>
      <c r="E125" s="4">
        <f>(Amazon!D125-Amazon!E125)/Amazon!E125</f>
        <v>7.2412782175315119E-2</v>
      </c>
      <c r="F125" s="4">
        <f>(NVIDIA!D125-NVIDIA!E125)/NVIDIA!E125</f>
        <v>9.0090090090089961E-2</v>
      </c>
      <c r="G125" s="4">
        <f>('Meta(Facebook)'!D125-'Meta(Facebook)'!E125)/'Meta(Facebook)'!E125</f>
        <v>0.10357571837752927</v>
      </c>
      <c r="H125" s="4">
        <f>('Samsung 005930'!D125-'Samsung 005930'!E125)/'Samsung 005930'!E125</f>
        <v>0.11969111969111969</v>
      </c>
      <c r="I125" s="4">
        <f>(Tesla!D125-Tesla!E125)/Tesla!E125</f>
        <v>0.28274760383386577</v>
      </c>
      <c r="J125" s="4">
        <f>(Intel!D125-Intel!E125)/Intel!E125</f>
        <v>8.4099868593955282E-2</v>
      </c>
      <c r="K125" s="4">
        <f>(Tencent!D125-Tencent!E125)/Tencent!E125</f>
        <v>6.8797505359579042E-2</v>
      </c>
    </row>
    <row r="126" spans="1:11" x14ac:dyDescent="0.5">
      <c r="A126" s="3" t="str" cm="1">
        <f t="array" ref="A126">INDEX(Tencent!$A$2:$A$173,ROWS(Tencent!$A$2:$A$173)-ROW(A125)+1)</f>
        <v>10/01/2022</v>
      </c>
      <c r="B126" s="4">
        <f>(Apple!D126-Apple!E126)/Apple!E126</f>
        <v>0.12561466249441208</v>
      </c>
      <c r="C126" s="4">
        <f>(Microsoft!D126-Microsoft!E126)/Microsoft!E126</f>
        <v>7.1572988273352192E-2</v>
      </c>
      <c r="D126" s="4">
        <f>(Google!D126-Google!E126)/Google!E126</f>
        <v>7.0170454545454508E-2</v>
      </c>
      <c r="E126" s="4">
        <f>(Amazon!D126-Amazon!E126)/Amazon!E126</f>
        <v>0.10396341463414646</v>
      </c>
      <c r="F126" s="4">
        <f>(NVIDIA!D126-NVIDIA!E126)/NVIDIA!E126</f>
        <v>0.36046511627906969</v>
      </c>
      <c r="G126" s="4">
        <f>('Meta(Facebook)'!D126-'Meta(Facebook)'!E126)/'Meta(Facebook)'!E126</f>
        <v>5.470383275261325E-2</v>
      </c>
      <c r="H126" s="4">
        <f>('Samsung 005930'!D126-'Samsung 005930'!E126)/'Samsung 005930'!E126</f>
        <v>4.6586345381526104E-2</v>
      </c>
      <c r="I126" s="4">
        <f>(Tesla!D126-Tesla!E126)/Tesla!E126</f>
        <v>0.19366715758468342</v>
      </c>
      <c r="J126" s="4">
        <f>(Intel!D126-Intel!E126)/Intel!E126</f>
        <v>7.2881355932203337E-2</v>
      </c>
      <c r="K126" s="4">
        <f>(Tencent!D126-Tencent!E126)/Tencent!E126</f>
        <v>0.14128885086968915</v>
      </c>
    </row>
    <row r="127" spans="1:11" x14ac:dyDescent="0.5">
      <c r="A127" s="3" t="str" cm="1">
        <f t="array" ref="A127">INDEX(Tencent!$A$2:$A$173,ROWS(Tencent!$A$2:$A$173)-ROW(A126)+1)</f>
        <v>11/01/2022</v>
      </c>
      <c r="B127" s="4">
        <f>(Apple!D127-Apple!E127)/Apple!E127</f>
        <v>0.2148724600086469</v>
      </c>
      <c r="C127" s="4">
        <f>(Microsoft!D127-Microsoft!E127)/Microsoft!E127</f>
        <v>0.15035460992907804</v>
      </c>
      <c r="D127" s="4">
        <f>(Google!D127-Google!E127)/Google!E127</f>
        <v>0.12485779294653018</v>
      </c>
      <c r="E127" s="4">
        <f>(Amazon!D127-Amazon!E127)/Amazon!E127</f>
        <v>0.14490772385509221</v>
      </c>
      <c r="F127" s="4">
        <f>(NVIDIA!D127-NVIDIA!E127)/NVIDIA!E127</f>
        <v>8.0459770114942472E-2</v>
      </c>
      <c r="G127" s="4">
        <f>('Meta(Facebook)'!D127-'Meta(Facebook)'!E127)/'Meta(Facebook)'!E127</f>
        <v>0.13620543692973383</v>
      </c>
      <c r="H127" s="4">
        <f>('Samsung 005930'!D127-'Samsung 005930'!E127)/'Samsung 005930'!E127</f>
        <v>5.6451612903225805E-2</v>
      </c>
      <c r="I127" s="4">
        <f>(Tesla!D127-Tesla!E127)/Tesla!E127</f>
        <v>0.15498392282958198</v>
      </c>
      <c r="J127" s="4">
        <f>(Intel!D127-Intel!E127)/Intel!E127</f>
        <v>7.8737541528239113E-2</v>
      </c>
      <c r="K127" s="4">
        <f>(Tencent!D127-Tencent!E127)/Tencent!E127</f>
        <v>8.2917574309605863E-2</v>
      </c>
    </row>
    <row r="128" spans="1:11" x14ac:dyDescent="0.5">
      <c r="A128" s="3" t="str" cm="1">
        <f t="array" ref="A128">INDEX(Tencent!$A$2:$A$173,ROWS(Tencent!$A$2:$A$173)-ROW(A127)+1)</f>
        <v>12/01/2022</v>
      </c>
      <c r="B128" s="4">
        <f>(Apple!D128-Apple!E128)/Apple!E128</f>
        <v>0.13341543513957307</v>
      </c>
      <c r="C128" s="4">
        <f>(Microsoft!D128-Microsoft!E128)/Microsoft!E128</f>
        <v>0.10003954132068016</v>
      </c>
      <c r="D128" s="4">
        <f>(Google!D128-Google!E128)/Google!E128</f>
        <v>0.10426136363636347</v>
      </c>
      <c r="E128" s="4">
        <f>(Amazon!D128-Amazon!E128)/Amazon!E128</f>
        <v>0.11994058670627554</v>
      </c>
      <c r="F128" s="4">
        <f>(NVIDIA!D128-NVIDIA!E128)/NVIDIA!E128</f>
        <v>0.16666666666666666</v>
      </c>
      <c r="G128" s="4">
        <f>('Meta(Facebook)'!D128-'Meta(Facebook)'!E128)/'Meta(Facebook)'!E128</f>
        <v>0.12059386973180065</v>
      </c>
      <c r="H128" s="4">
        <f>('Samsung 005930'!D128-'Samsung 005930'!E128)/'Samsung 005930'!E128</f>
        <v>0.12234494477485132</v>
      </c>
      <c r="I128" s="4">
        <f>(Tesla!D128-Tesla!E128)/Tesla!E128</f>
        <v>0.32148760330578519</v>
      </c>
      <c r="J128" s="4">
        <f>(Intel!D128-Intel!E128)/Intel!E128</f>
        <v>0.10084033613445378</v>
      </c>
      <c r="K128" s="4">
        <f>(Tencent!D128-Tencent!E128)/Tencent!E128</f>
        <v>0.13004140469253189</v>
      </c>
    </row>
    <row r="129" spans="1:11" x14ac:dyDescent="0.5">
      <c r="A129" s="3" t="str" cm="1">
        <f t="array" ref="A129">INDEX(Tencent!$A$2:$A$173,ROWS(Tencent!$A$2:$A$173)-ROW(A128)+1)</f>
        <v>01/01/2023</v>
      </c>
      <c r="B129" s="4">
        <f>(Apple!D129-Apple!E129)/Apple!E129</f>
        <v>6.7818574514038887E-2</v>
      </c>
      <c r="C129" s="4">
        <f>(Microsoft!D129-Microsoft!E129)/Microsoft!E129</f>
        <v>0.14318323303589969</v>
      </c>
      <c r="D129" s="4">
        <f>(Google!D129-Google!E129)/Google!E129</f>
        <v>0.18826979472140767</v>
      </c>
      <c r="E129" s="4">
        <f>(Amazon!D129-Amazon!E129)/Amazon!E129</f>
        <v>0.22742616033755278</v>
      </c>
      <c r="F129" s="4">
        <f>(NVIDIA!D129-NVIDIA!E129)/NVIDIA!E129</f>
        <v>0.29032258064516137</v>
      </c>
      <c r="G129" s="4">
        <f>('Meta(Facebook)'!D129-'Meta(Facebook)'!E129)/'Meta(Facebook)'!E129</f>
        <v>0.21452179301797161</v>
      </c>
      <c r="H129" s="4">
        <f>('Samsung 005930'!D129-'Samsung 005930'!E129)/'Samsung 005930'!E129</f>
        <v>7.6028622540250446E-2</v>
      </c>
      <c r="I129" s="4">
        <f>(Tesla!D129-Tesla!E129)/Tesla!E129</f>
        <v>0.41489361702127664</v>
      </c>
      <c r="J129" s="4">
        <f>(Intel!D129-Intel!E129)/Intel!E129</f>
        <v>0.12427745664739889</v>
      </c>
      <c r="K129" s="4">
        <f>(Tencent!D129-Tencent!E129)/Tencent!E129</f>
        <v>0.11810118265440195</v>
      </c>
    </row>
    <row r="130" spans="1:11" x14ac:dyDescent="0.5">
      <c r="A130" s="3" t="str" cm="1">
        <f t="array" ref="A130">INDEX(Tencent!$A$2:$A$173,ROWS(Tencent!$A$2:$A$173)-ROW(A129)+1)</f>
        <v>02/01/2023</v>
      </c>
      <c r="B130" s="4">
        <f>(Apple!D130-Apple!E130)/Apple!E130</f>
        <v>0.14545454545454542</v>
      </c>
      <c r="C130" s="4">
        <f>(Microsoft!D130-Microsoft!E130)/Microsoft!E130</f>
        <v>0.1281059063136456</v>
      </c>
      <c r="D130" s="4">
        <f>(Google!D130-Google!E130)/Google!E130</f>
        <v>0.11834835708054668</v>
      </c>
      <c r="E130" s="4">
        <f>(Amazon!D130-Amazon!E130)/Amazon!E130</f>
        <v>0.20211988304093573</v>
      </c>
      <c r="F130" s="4">
        <f>(NVIDIA!D130-NVIDIA!E130)/NVIDIA!E130</f>
        <v>0.2727272727272726</v>
      </c>
      <c r="G130" s="4">
        <f>('Meta(Facebook)'!D130-'Meta(Facebook)'!E130)/'Meta(Facebook)'!E130</f>
        <v>0.26261609041065231</v>
      </c>
      <c r="H130" s="4">
        <f>('Samsung 005930'!D130-'Samsung 005930'!E130)/'Samsung 005930'!E130</f>
        <v>0.15808823529411764</v>
      </c>
      <c r="I130" s="4">
        <f>(Tesla!D130-Tesla!E130)/Tesla!E130</f>
        <v>0.26891447368421051</v>
      </c>
      <c r="J130" s="4">
        <f>(Intel!D130-Intel!E130)/Intel!E130</f>
        <v>0.16432728517630937</v>
      </c>
      <c r="K130" s="4">
        <f>(Tencent!D130-Tencent!E130)/Tencent!E130</f>
        <v>0.14199543527877392</v>
      </c>
    </row>
    <row r="131" spans="1:11" x14ac:dyDescent="0.5">
      <c r="A131" s="3" t="str" cm="1">
        <f t="array" ref="A131">INDEX(Tencent!$A$2:$A$173,ROWS(Tencent!$A$2:$A$173)-ROW(A130)+1)</f>
        <v>03/01/2023</v>
      </c>
      <c r="B131" s="4">
        <f>(Apple!D131-Apple!E131)/Apple!E131</f>
        <v>0.14351145038167945</v>
      </c>
      <c r="C131" s="4">
        <f>(Microsoft!D131-Microsoft!E131)/Microsoft!E131</f>
        <v>5.9053651266766052E-2</v>
      </c>
      <c r="D131" s="4">
        <f>(Google!D131-Google!E131)/Google!E131</f>
        <v>8.4759576202118908E-2</v>
      </c>
      <c r="E131" s="4">
        <f>(Amazon!D131-Amazon!E131)/Amazon!E131</f>
        <v>9.6347607052896675E-2</v>
      </c>
      <c r="F131" s="4">
        <f>(NVIDIA!D131-NVIDIA!E131)/NVIDIA!E131</f>
        <v>6.2499999999999917E-2</v>
      </c>
      <c r="G131" s="4">
        <f>('Meta(Facebook)'!D131-'Meta(Facebook)'!E131)/'Meta(Facebook)'!E131</f>
        <v>6.3670411985018813E-2</v>
      </c>
      <c r="H131" s="4">
        <f>('Samsung 005930'!D131-'Samsung 005930'!E131)/'Samsung 005930'!E131</f>
        <v>6.5269943593875904E-2</v>
      </c>
      <c r="I131" s="4">
        <f>(Tesla!D131-Tesla!E131)/Tesla!E131</f>
        <v>0.13407821229050265</v>
      </c>
      <c r="J131" s="4">
        <f>(Intel!D131-Intel!E131)/Intel!E131</f>
        <v>5.2647145814847709E-2</v>
      </c>
      <c r="K131" s="4">
        <f>(Tencent!D131-Tencent!E131)/Tencent!E131</f>
        <v>0.10144157814870998</v>
      </c>
    </row>
    <row r="132" spans="1:11" x14ac:dyDescent="0.5">
      <c r="A132" s="3" t="str" cm="1">
        <f t="array" ref="A132">INDEX(Tencent!$A$2:$A$173,ROWS(Tencent!$A$2:$A$173)-ROW(A131)+1)</f>
        <v>04/01/2023</v>
      </c>
      <c r="B132" s="4">
        <f>(Apple!D132-Apple!E132)/Apple!E132</f>
        <v>0.11531531531531529</v>
      </c>
      <c r="C132" s="4">
        <f>(Microsoft!D132-Microsoft!E132)/Microsoft!E132</f>
        <v>4.6640015229392644E-2</v>
      </c>
      <c r="D132" s="4">
        <f>(Google!D132-Google!E132)/Google!E132</f>
        <v>7.054963084495483E-2</v>
      </c>
      <c r="E132" s="4">
        <f>(Amazon!D132-Amazon!E132)/Amazon!E132</f>
        <v>0.10058027079303679</v>
      </c>
      <c r="F132" s="4">
        <f>(NVIDIA!D132-NVIDIA!E132)/NVIDIA!E132</f>
        <v>0.15942028985507262</v>
      </c>
      <c r="G132" s="4">
        <f>('Meta(Facebook)'!D132-'Meta(Facebook)'!E132)/'Meta(Facebook)'!E132</f>
        <v>0.10132377824226144</v>
      </c>
      <c r="H132" s="4">
        <f>('Samsung 005930'!D132-'Samsung 005930'!E132)/'Samsung 005930'!E132</f>
        <v>0.10292953285827396</v>
      </c>
      <c r="I132" s="4">
        <f>(Tesla!D132-Tesla!E132)/Tesla!E132</f>
        <v>0.1399416909620991</v>
      </c>
      <c r="J132" s="4">
        <f>(Intel!D132-Intel!E132)/Intel!E132</f>
        <v>0.10523019104290635</v>
      </c>
      <c r="K132" s="4">
        <f>(Tencent!D132-Tencent!E132)/Tencent!E132</f>
        <v>8.2820037105751365E-2</v>
      </c>
    </row>
    <row r="133" spans="1:11" x14ac:dyDescent="0.5">
      <c r="A133" s="3" t="str" cm="1">
        <f t="array" ref="A133">INDEX(Tencent!$A$2:$A$173,ROWS(Tencent!$A$2:$A$173)-ROW(A132)+1)</f>
        <v>05/01/2023</v>
      </c>
      <c r="B133" s="4">
        <f>(Apple!D133-Apple!E133)/Apple!E133</f>
        <v>0.12933283637718981</v>
      </c>
      <c r="C133" s="4">
        <f>(Microsoft!D133-Microsoft!E133)/Microsoft!E133</f>
        <v>0.24274285714285709</v>
      </c>
      <c r="D133" s="4">
        <f>(Google!D133-Google!E133)/Google!E133</f>
        <v>0.19233206590621052</v>
      </c>
      <c r="E133" s="4">
        <f>(Amazon!D133-Amazon!E133)/Amazon!E133</f>
        <v>0.24664031620553353</v>
      </c>
      <c r="F133" s="4">
        <f>(NVIDIA!D133-NVIDIA!E133)/NVIDIA!E133</f>
        <v>0.22033898305084748</v>
      </c>
      <c r="G133" s="4">
        <f>('Meta(Facebook)'!D133-'Meta(Facebook)'!E133)/'Meta(Facebook)'!E133</f>
        <v>0.18967858759619743</v>
      </c>
      <c r="H133" s="4">
        <f>('Samsung 005930'!D133-'Samsung 005930'!E133)/'Samsung 005930'!E133</f>
        <v>0.25179856115107913</v>
      </c>
      <c r="I133" s="4">
        <f>(Tesla!D133-Tesla!E133)/Tesla!E133</f>
        <v>0.23682256867112095</v>
      </c>
      <c r="J133" s="4">
        <f>(Intel!D133-Intel!E133)/Intel!E133</f>
        <v>0.18906992532247116</v>
      </c>
      <c r="K133" s="4">
        <f>(Tencent!D133-Tencent!E133)/Tencent!E133</f>
        <v>0.15938430983118165</v>
      </c>
    </row>
    <row r="134" spans="1:11" x14ac:dyDescent="0.5">
      <c r="A134" s="3" t="str" cm="1">
        <f t="array" ref="A134">INDEX(Tencent!$A$2:$A$173,ROWS(Tencent!$A$2:$A$173)-ROW(A133)+1)</f>
        <v>06/01/2023</v>
      </c>
      <c r="B134" s="4">
        <f>(Apple!D134-Apple!E134)/Apple!E134</f>
        <v>8.8673621460506669E-2</v>
      </c>
      <c r="C134" s="4">
        <f>(Microsoft!D134-Microsoft!E134)/Microsoft!E134</f>
        <v>8.0172827652424478E-2</v>
      </c>
      <c r="D134" s="4">
        <f>(Google!D134-Google!E134)/Google!E134</f>
        <v>0.10391712528326322</v>
      </c>
      <c r="E134" s="4">
        <f>(Amazon!D134-Amazon!E134)/Amazon!E134</f>
        <v>0.12112561174551383</v>
      </c>
      <c r="F134" s="4">
        <f>(NVIDIA!D134-NVIDIA!E134)/NVIDIA!E134</f>
        <v>0.14814814814814806</v>
      </c>
      <c r="G134" s="4">
        <f>('Meta(Facebook)'!D134-'Meta(Facebook)'!E134)/'Meta(Facebook)'!E134</f>
        <v>0.12564162389174049</v>
      </c>
      <c r="H134" s="4">
        <f>('Samsung 005930'!D134-'Samsung 005930'!E134)/'Samsung 005930'!E134</f>
        <v>0.11924882629107982</v>
      </c>
      <c r="I134" s="4">
        <f>(Tesla!D134-Tesla!E134)/Tesla!E134</f>
        <v>0.14556962025316458</v>
      </c>
      <c r="J134" s="4">
        <f>(Intel!D134-Intel!E134)/Intel!E134</f>
        <v>9.6167751265365156E-2</v>
      </c>
      <c r="K134" s="4">
        <f>(Tencent!D134-Tencent!E134)/Tencent!E134</f>
        <v>0.10068510970427542</v>
      </c>
    </row>
    <row r="135" spans="1:11" x14ac:dyDescent="0.5">
      <c r="A135" s="3" t="str" cm="1">
        <f t="array" ref="A135">INDEX(Tencent!$A$2:$A$173,ROWS(Tencent!$A$2:$A$173)-ROW(A134)+1)</f>
        <v>07/01/2023</v>
      </c>
      <c r="B135" s="4">
        <f>(Apple!D135-Apple!E135)/Apple!E135</f>
        <v>0.33217391304347826</v>
      </c>
      <c r="C135" s="4">
        <f>(Microsoft!D135-Microsoft!E135)/Microsoft!E135</f>
        <v>0.21878147029204426</v>
      </c>
      <c r="D135" s="4">
        <f>(Google!D135-Google!E135)/Google!E135</f>
        <v>0.18718381112984839</v>
      </c>
      <c r="E135" s="4">
        <f>(Amazon!D135-Amazon!E135)/Amazon!E135</f>
        <v>0.20354767184035474</v>
      </c>
      <c r="F135" s="4">
        <f>(NVIDIA!D135-NVIDIA!E135)/NVIDIA!E135</f>
        <v>0.19999999999999996</v>
      </c>
      <c r="G135" s="4">
        <f>('Meta(Facebook)'!D135-'Meta(Facebook)'!E135)/'Meta(Facebook)'!E135</f>
        <v>0.37138888888888882</v>
      </c>
      <c r="H135" s="4">
        <f>('Samsung 005930'!D135-'Samsung 005930'!E135)/'Samsung 005930'!E135</f>
        <v>0.14908034849951599</v>
      </c>
      <c r="I135" s="4">
        <f>(Tesla!D135-Tesla!E135)/Tesla!E135</f>
        <v>0.39</v>
      </c>
      <c r="J135" s="4">
        <f>(Intel!D135-Intel!E135)/Intel!E135</f>
        <v>0.19340570969038998</v>
      </c>
      <c r="K135" s="4">
        <f>(Tencent!D135-Tencent!E135)/Tencent!E135</f>
        <v>0.17665587540467217</v>
      </c>
    </row>
    <row r="136" spans="1:11" x14ac:dyDescent="0.5">
      <c r="A136" s="3" t="str" cm="1">
        <f t="array" ref="A136">INDEX(Tencent!$A$2:$A$173,ROWS(Tencent!$A$2:$A$173)-ROW(A135)+1)</f>
        <v>08/01/2023</v>
      </c>
      <c r="B136" s="4">
        <f>(Apple!D136-Apple!E136)/Apple!E136</f>
        <v>0.11543624161073829</v>
      </c>
      <c r="C136" s="4">
        <f>(Microsoft!D136-Microsoft!E136)/Microsoft!E136</f>
        <v>9.4182825484764504E-2</v>
      </c>
      <c r="D136" s="4">
        <f>(Google!D136-Google!E136)/Google!E136</f>
        <v>0.32160059281215281</v>
      </c>
      <c r="E136" s="4">
        <f>(Amazon!D136-Amazon!E136)/Amazon!E136</f>
        <v>0.36419172932330823</v>
      </c>
      <c r="F136" s="4">
        <f>(NVIDIA!D136-NVIDIA!E136)/NVIDIA!E136</f>
        <v>8.3333333333333412E-2</v>
      </c>
      <c r="G136" s="4">
        <f>('Meta(Facebook)'!D136-'Meta(Facebook)'!E136)/'Meta(Facebook)'!E136</f>
        <v>0.16437873988032373</v>
      </c>
      <c r="H136" s="4">
        <f>('Samsung 005930'!D136-'Samsung 005930'!E136)/'Samsung 005930'!E136</f>
        <v>0.11574468085106383</v>
      </c>
      <c r="I136" s="4">
        <f>(Tesla!D136-Tesla!E136)/Tesla!E136</f>
        <v>0.14294258373205745</v>
      </c>
      <c r="J136" s="4">
        <f>(Intel!D136-Intel!E136)/Intel!E136</f>
        <v>0.11947863866763217</v>
      </c>
      <c r="K136" s="4">
        <f>(Tencent!D136-Tencent!E136)/Tencent!E136</f>
        <v>0.20171744694905452</v>
      </c>
    </row>
    <row r="137" spans="1:11" x14ac:dyDescent="0.5">
      <c r="A137" s="3" t="str" cm="1">
        <f t="array" ref="A137">INDEX(Tencent!$A$2:$A$173,ROWS(Tencent!$A$2:$A$173)-ROW(A136)+1)</f>
        <v>09/01/2023</v>
      </c>
      <c r="B137" s="4">
        <f>(Apple!D137-Apple!E137)/Apple!E137</f>
        <v>5.5591259640102843E-2</v>
      </c>
      <c r="C137" s="4">
        <f>(Microsoft!D137-Microsoft!E137)/Microsoft!E137</f>
        <v>8.716431497496599E-2</v>
      </c>
      <c r="D137" s="4">
        <f>(Google!D137-Google!E137)/Google!E137</f>
        <v>4.9740163325909421E-2</v>
      </c>
      <c r="E137" s="4">
        <f>(Amazon!D137-Amazon!E137)/Amazon!E137</f>
        <v>6.6316793893129791E-2</v>
      </c>
      <c r="F137" s="4">
        <f>(NVIDIA!D137-NVIDIA!E137)/NVIDIA!E137</f>
        <v>0.1399999999999999</v>
      </c>
      <c r="G137" s="4">
        <f>('Meta(Facebook)'!D137-'Meta(Facebook)'!E137)/'Meta(Facebook)'!E137</f>
        <v>0.13653699466056457</v>
      </c>
      <c r="H137" s="4">
        <f>('Samsung 005930'!D137-'Samsung 005930'!E137)/'Samsung 005930'!E137</f>
        <v>9.2741935483870969E-2</v>
      </c>
      <c r="I137" s="4">
        <f>(Tesla!D137-Tesla!E137)/Tesla!E137</f>
        <v>0.10439560439560445</v>
      </c>
      <c r="J137" s="4">
        <f>(Intel!D137-Intel!E137)/Intel!E137</f>
        <v>0.14726368159203998</v>
      </c>
      <c r="K137" s="4">
        <f>(Tencent!D137-Tencent!E137)/Tencent!E137</f>
        <v>9.2000578619991322E-2</v>
      </c>
    </row>
    <row r="138" spans="1:11" x14ac:dyDescent="0.5">
      <c r="A138" s="3" t="str" cm="1">
        <f t="array" ref="A138">INDEX(Tencent!$A$2:$A$173,ROWS(Tencent!$A$2:$A$173)-ROW(A137)+1)</f>
        <v>10/01/2023</v>
      </c>
      <c r="B138" s="4">
        <f>(Apple!D138-Apple!E138)/Apple!E138</f>
        <v>7.7821011673151821E-2</v>
      </c>
      <c r="C138" s="4">
        <f>(Microsoft!D138-Microsoft!E138)/Microsoft!E138</f>
        <v>6.2798783137766045E-2</v>
      </c>
      <c r="D138" s="4">
        <f>(Google!D138-Google!E138)/Google!E138</f>
        <v>4.8853814355505475E-2</v>
      </c>
      <c r="E138" s="4">
        <f>(Amazon!D138-Amazon!E138)/Amazon!E138</f>
        <v>5.8851905451037086E-2</v>
      </c>
      <c r="F138" s="4">
        <f>(NVIDIA!D138-NVIDIA!E138)/NVIDIA!E138</f>
        <v>0.1176470588235293</v>
      </c>
      <c r="G138" s="4">
        <f>('Meta(Facebook)'!D138-'Meta(Facebook)'!E138)/'Meta(Facebook)'!E138</f>
        <v>6.5893996614142303E-2</v>
      </c>
      <c r="H138" s="4">
        <f>('Samsung 005930'!D138-'Samsung 005930'!E138)/'Samsung 005930'!E138</f>
        <v>9.7147262914417887E-2</v>
      </c>
      <c r="I138" s="4">
        <f>(Tesla!D138-Tesla!E138)/Tesla!E138</f>
        <v>0.14850136239782014</v>
      </c>
      <c r="J138" s="4">
        <f>(Intel!D138-Intel!E138)/Intel!E138</f>
        <v>8.8318196053867842E-2</v>
      </c>
      <c r="K138" s="4">
        <f>(Tencent!D138-Tencent!E138)/Tencent!E138</f>
        <v>7.976556357658493E-2</v>
      </c>
    </row>
    <row r="139" spans="1:11" x14ac:dyDescent="0.5">
      <c r="A139" s="3" t="str" cm="1">
        <f t="array" ref="A139">INDEX(Tencent!$A$2:$A$173,ROWS(Tencent!$A$2:$A$173)-ROW(A138)+1)</f>
        <v>11/01/2023</v>
      </c>
      <c r="B139" s="4">
        <f>(Apple!D139-Apple!E139)/Apple!E139</f>
        <v>9.2947676308092392E-2</v>
      </c>
      <c r="C139" s="4">
        <f>(Microsoft!D139-Microsoft!E139)/Microsoft!E139</f>
        <v>0.2347956131605185</v>
      </c>
      <c r="D139" s="4">
        <f>(Google!D139-Google!E139)/Google!E139</f>
        <v>0.10548204158790167</v>
      </c>
      <c r="E139" s="4">
        <f>(Amazon!D139-Amazon!E139)/Amazon!E139</f>
        <v>0.22855591748099874</v>
      </c>
      <c r="F139" s="4">
        <f>(NVIDIA!D139-NVIDIA!E139)/NVIDIA!E139</f>
        <v>9.615384615384602E-2</v>
      </c>
      <c r="G139" s="4">
        <f>('Meta(Facebook)'!D139-'Meta(Facebook)'!E139)/'Meta(Facebook)'!E139</f>
        <v>9.2824310520939868E-2</v>
      </c>
      <c r="H139" s="4">
        <f>('Samsung 005930'!D139-'Samsung 005930'!E139)/'Samsung 005930'!E139</f>
        <v>9.9337748344370855E-2</v>
      </c>
      <c r="I139" s="4">
        <f>(Tesla!D139-Tesla!E139)/Tesla!E139</f>
        <v>0.28387096774193543</v>
      </c>
      <c r="J139" s="4">
        <f>(Intel!D139-Intel!E139)/Intel!E139</f>
        <v>8.5057471264367815E-2</v>
      </c>
      <c r="K139" s="4">
        <f>(Tencent!D139-Tencent!E139)/Tencent!E139</f>
        <v>0.16644464179988164</v>
      </c>
    </row>
    <row r="140" spans="1:11" x14ac:dyDescent="0.5">
      <c r="A140" s="3" t="str" cm="1">
        <f t="array" ref="A140">INDEX(Tencent!$A$2:$A$173,ROWS(Tencent!$A$2:$A$173)-ROW(A139)+1)</f>
        <v>12/01/2023</v>
      </c>
      <c r="B140" s="4">
        <f>(Apple!D140-Apple!E140)/Apple!E140</f>
        <v>7.102926668858929E-2</v>
      </c>
      <c r="C140" s="4">
        <f>(Microsoft!D140-Microsoft!E140)/Microsoft!E140</f>
        <v>9.0034533793783886E-2</v>
      </c>
      <c r="D140" s="4">
        <f>(Google!D140-Google!E140)/Google!E140</f>
        <v>5.9593023255813976E-2</v>
      </c>
      <c r="E140" s="4">
        <f>(Amazon!D140-Amazon!E140)/Amazon!E140</f>
        <v>6.2363238512035041E-2</v>
      </c>
      <c r="F140" s="4">
        <f>(NVIDIA!D140-NVIDIA!E140)/NVIDIA!E140</f>
        <v>0.15686274509803913</v>
      </c>
      <c r="G140" s="4">
        <f>('Meta(Facebook)'!D140-'Meta(Facebook)'!E140)/'Meta(Facebook)'!E140</f>
        <v>0.11403054620761051</v>
      </c>
      <c r="H140" s="4">
        <f>('Samsung 005930'!D140-'Samsung 005930'!E140)/'Samsung 005930'!E140</f>
        <v>0.10460863204096561</v>
      </c>
      <c r="I140" s="4">
        <f>(Tesla!D140-Tesla!E140)/Tesla!E140</f>
        <v>0.13730355665839539</v>
      </c>
      <c r="J140" s="4">
        <f>(Intel!D140-Intel!E140)/Intel!E140</f>
        <v>0.1770726714431935</v>
      </c>
      <c r="K140" s="4">
        <f>(Tencent!D140-Tencent!E140)/Tencent!E140</f>
        <v>0.16281976501958176</v>
      </c>
    </row>
    <row r="141" spans="1:11" x14ac:dyDescent="0.5">
      <c r="A141" s="3" t="str" cm="1">
        <f t="array" ref="A141">INDEX(Tencent!$A$2:$A$173,ROWS(Tencent!$A$2:$A$173)-ROW(A140)+1)</f>
        <v>01/01/2024</v>
      </c>
      <c r="B141" s="4">
        <f>(Apple!D141-Apple!E141)/Apple!E141</f>
        <v>0.15093039283252926</v>
      </c>
      <c r="C141" s="4">
        <f>(Microsoft!D141-Microsoft!E141)/Microsoft!E141</f>
        <v>0.10116828237633609</v>
      </c>
      <c r="D141" s="4">
        <f>(Google!D141-Google!E141)/Google!E141</f>
        <v>9.1222690686086585E-2</v>
      </c>
      <c r="E141" s="4">
        <f>(Amazon!D141-Amazon!E141)/Amazon!E141</f>
        <v>0.1125714285714285</v>
      </c>
      <c r="F141" s="4">
        <f>(NVIDIA!D141-NVIDIA!E141)/NVIDIA!E141</f>
        <v>0.19148936170212785</v>
      </c>
      <c r="G141" s="4">
        <f>('Meta(Facebook)'!D141-'Meta(Facebook)'!E141)/'Meta(Facebook)'!E141</f>
        <v>0.10782845473110962</v>
      </c>
      <c r="H141" s="4">
        <f>('Samsung 005930'!D141-'Samsung 005930'!E141)/'Samsung 005930'!E141</f>
        <v>5.1840721262208865E-2</v>
      </c>
      <c r="I141" s="4">
        <f>(Tesla!D141-Tesla!E141)/Tesla!E141</f>
        <v>0.16602017067494171</v>
      </c>
      <c r="J141" s="4">
        <f>(Intel!D141-Intel!E141)/Intel!E141</f>
        <v>6.5624041704998484E-2</v>
      </c>
      <c r="K141" s="4">
        <f>(Tencent!D141-Tencent!E141)/Tencent!E141</f>
        <v>7.2639430411934172E-2</v>
      </c>
    </row>
    <row r="142" spans="1:11" x14ac:dyDescent="0.5">
      <c r="A142" s="3" t="str" cm="1">
        <f t="array" ref="A142">INDEX(Tencent!$A$2:$A$173,ROWS(Tencent!$A$2:$A$173)-ROW(A141)+1)</f>
        <v>02/01/2024</v>
      </c>
      <c r="B142" s="4">
        <f>(Apple!D142-Apple!E142)/Apple!E142</f>
        <v>0.14678899082568805</v>
      </c>
      <c r="C142" s="4">
        <f>(Microsoft!D142-Microsoft!E142)/Microsoft!E142</f>
        <v>0.1873605947955389</v>
      </c>
      <c r="D142" s="4">
        <f>(Google!D142-Google!E142)/Google!E142</f>
        <v>0.11079429735234211</v>
      </c>
      <c r="E142" s="4">
        <f>(Amazon!D142-Amazon!E142)/Amazon!E142</f>
        <v>0.26086956521739135</v>
      </c>
      <c r="F142" s="4">
        <f>(NVIDIA!D142-NVIDIA!E142)/NVIDIA!E142</f>
        <v>8.3333333333333412E-2</v>
      </c>
      <c r="G142" s="4">
        <f>('Meta(Facebook)'!D142-'Meta(Facebook)'!E142)/'Meta(Facebook)'!E142</f>
        <v>7.7644819146042876E-2</v>
      </c>
      <c r="H142" s="4">
        <f>('Samsung 005930'!D142-'Samsung 005930'!E142)/'Samsung 005930'!E142</f>
        <v>9.2043681747269887E-2</v>
      </c>
      <c r="I142" s="4">
        <f>(Tesla!D142-Tesla!E142)/Tesla!E142</f>
        <v>0.20681265206812657</v>
      </c>
      <c r="J142" s="4">
        <f>(Intel!D142-Intel!E142)/Intel!E142</f>
        <v>0.13606060606060613</v>
      </c>
      <c r="K142" s="4">
        <f>(Tencent!D142-Tencent!E142)/Tencent!E142</f>
        <v>0.23988692855054097</v>
      </c>
    </row>
    <row r="143" spans="1:11" x14ac:dyDescent="0.5">
      <c r="A143" s="3" t="str" cm="1">
        <f t="array" ref="A143">INDEX(Tencent!$A$2:$A$173,ROWS(Tencent!$A$2:$A$173)-ROW(A142)+1)</f>
        <v>03/01/2024</v>
      </c>
      <c r="B143" s="4">
        <f>(Apple!D143-Apple!E143)/Apple!E143</f>
        <v>0.12194203989461792</v>
      </c>
      <c r="C143" s="4">
        <f>(Microsoft!D143-Microsoft!E143)/Microsoft!E143</f>
        <v>9.2650334075723914E-2</v>
      </c>
      <c r="D143" s="4">
        <f>(Google!D143-Google!E143)/Google!E143</f>
        <v>0.10378117457763483</v>
      </c>
      <c r="E143" s="4">
        <f>(Amazon!D143-Amazon!E143)/Amazon!E143</f>
        <v>0.16245733788395911</v>
      </c>
      <c r="F143" s="4">
        <f>(NVIDIA!D143-NVIDIA!E143)/NVIDIA!E143</f>
        <v>0.10416666666666677</v>
      </c>
      <c r="G143" s="4">
        <f>('Meta(Facebook)'!D143-'Meta(Facebook)'!E143)/'Meta(Facebook)'!E143</f>
        <v>0.10443548387096768</v>
      </c>
      <c r="H143" s="4">
        <f>('Samsung 005930'!D143-'Samsung 005930'!E143)/'Samsung 005930'!E143</f>
        <v>8.386581469648563E-2</v>
      </c>
      <c r="I143" s="4">
        <f>(Tesla!D143-Tesla!E143)/Tesla!E143</f>
        <v>0.25856697819314645</v>
      </c>
      <c r="J143" s="4">
        <f>(Intel!D143-Intel!E143)/Intel!E143</f>
        <v>7.274271157656384E-2</v>
      </c>
      <c r="K143" s="4">
        <f>(Tencent!D143-Tencent!E143)/Tencent!E143</f>
        <v>0.17223837209302331</v>
      </c>
    </row>
    <row r="144" spans="1:11" x14ac:dyDescent="0.5">
      <c r="A144" s="3" t="str" cm="1">
        <f t="array" ref="A144">INDEX(Tencent!$A$2:$A$173,ROWS(Tencent!$A$2:$A$173)-ROW(A143)+1)</f>
        <v>04/01/2024</v>
      </c>
      <c r="B144" s="4">
        <f>(Apple!D144-Apple!E144)/Apple!E144</f>
        <v>0.11177125881916085</v>
      </c>
      <c r="C144" s="4">
        <f>(Microsoft!D144-Microsoft!E144)/Microsoft!E144</f>
        <v>7.1046436978386487E-2</v>
      </c>
      <c r="D144" s="4">
        <f>(Google!D144-Google!E144)/Google!E144</f>
        <v>5.1928783382789265E-2</v>
      </c>
      <c r="E144" s="4">
        <f>(Amazon!D144-Amazon!E144)/Amazon!E144</f>
        <v>0.16769336071184116</v>
      </c>
      <c r="F144" s="4">
        <f>(NVIDIA!D144-NVIDIA!E144)/NVIDIA!E144</f>
        <v>0.10416666666666677</v>
      </c>
      <c r="G144" s="4">
        <f>('Meta(Facebook)'!D144-'Meta(Facebook)'!E144)/'Meta(Facebook)'!E144</f>
        <v>7.9437318990483938E-2</v>
      </c>
      <c r="H144" s="4">
        <f>('Samsung 005930'!D144-'Samsung 005930'!E144)/'Samsung 005930'!E144</f>
        <v>0.10254237288135593</v>
      </c>
      <c r="I144" s="4">
        <f>(Tesla!D144-Tesla!E144)/Tesla!E144</f>
        <v>0.13788575180564661</v>
      </c>
      <c r="J144" s="4">
        <f>(Intel!D144-Intel!E144)/Intel!E144</f>
        <v>0.14212121212121206</v>
      </c>
      <c r="K144" s="4">
        <f>(Tencent!D144-Tencent!E144)/Tencent!E144</f>
        <v>0.11027770336637208</v>
      </c>
    </row>
    <row r="145" spans="1:11" x14ac:dyDescent="0.5">
      <c r="A145" s="3" t="str" cm="1">
        <f t="array" ref="A145">INDEX(Tencent!$A$2:$A$173,ROWS(Tencent!$A$2:$A$173)-ROW(A144)+1)</f>
        <v>05/01/2024</v>
      </c>
      <c r="B145" s="4">
        <f>(Apple!D145-Apple!E145)/Apple!E145</f>
        <v>0.13487394957983195</v>
      </c>
      <c r="C145" s="4">
        <f>(Microsoft!D145-Microsoft!E145)/Microsoft!E145</f>
        <v>0.11567695961995243</v>
      </c>
      <c r="D145" s="4">
        <f>(Google!D145-Google!E145)/Google!E145</f>
        <v>0.14274691358024688</v>
      </c>
      <c r="E145" s="4">
        <f>(Amazon!D145-Amazon!E145)/Amazon!E145</f>
        <v>0.14507042253521144</v>
      </c>
      <c r="F145" s="4">
        <f>(NVIDIA!D145-NVIDIA!E145)/NVIDIA!E145</f>
        <v>0.16666666666666669</v>
      </c>
      <c r="G145" s="4">
        <f>('Meta(Facebook)'!D145-'Meta(Facebook)'!E145)/'Meta(Facebook)'!E145</f>
        <v>0.15415244596131975</v>
      </c>
      <c r="H145" s="4">
        <f>('Samsung 005930'!D145-'Samsung 005930'!E145)/'Samsung 005930'!E145</f>
        <v>0.15955473098330242</v>
      </c>
      <c r="I145" s="4">
        <f>(Tesla!D145-Tesla!E145)/Tesla!E145</f>
        <v>0.22153209109730843</v>
      </c>
      <c r="J145" s="4">
        <f>(Intel!D145-Intel!E145)/Intel!E145</f>
        <v>0.173018549747049</v>
      </c>
      <c r="K145" s="4">
        <f>(Tencent!D145-Tencent!E145)/Tencent!E145</f>
        <v>0.10414452709883104</v>
      </c>
    </row>
    <row r="146" spans="1:11" x14ac:dyDescent="0.5">
      <c r="A146" s="3" t="str" cm="1">
        <f t="array" ref="A146">INDEX(Tencent!$A$2:$A$173,ROWS(Tencent!$A$2:$A$173)-ROW(A145)+1)</f>
        <v>06/01/2024</v>
      </c>
      <c r="B146" s="4">
        <f>(Apple!D146-Apple!E146)/Apple!E146</f>
        <v>7.8618968386023322E-2</v>
      </c>
      <c r="C146" s="4">
        <f>(Microsoft!D146-Microsoft!E146)/Microsoft!E146</f>
        <v>6.8268582977767778E-2</v>
      </c>
      <c r="D146" s="4">
        <f>(Google!D146-Google!E146)/Google!E146</f>
        <v>4.9220103986135112E-2</v>
      </c>
      <c r="E146" s="4">
        <f>(Amazon!D146-Amazon!E146)/Amazon!E146</f>
        <v>0.10012594458438275</v>
      </c>
      <c r="F146" s="4">
        <f>(NVIDIA!D146-NVIDIA!E146)/NVIDIA!E146</f>
        <v>8.6956521739130391E-2</v>
      </c>
      <c r="G146" s="4">
        <f>('Meta(Facebook)'!D146-'Meta(Facebook)'!E146)/'Meta(Facebook)'!E146</f>
        <v>9.0871766798959919E-2</v>
      </c>
      <c r="H146" s="4">
        <f>('Samsung 005930'!D146-'Samsung 005930'!E146)/'Samsung 005930'!E146</f>
        <v>8.4136722173531991E-2</v>
      </c>
      <c r="I146" s="4">
        <f>(Tesla!D146-Tesla!E146)/Tesla!E146</f>
        <v>0.21361648969394115</v>
      </c>
      <c r="J146" s="4">
        <f>(Intel!D146-Intel!E146)/Intel!E146</f>
        <v>5.7389235801367816E-2</v>
      </c>
      <c r="K146" s="4">
        <f>(Tencent!D146-Tencent!E146)/Tencent!E146</f>
        <v>0.15158218716937583</v>
      </c>
    </row>
    <row r="147" spans="1:11" x14ac:dyDescent="0.5">
      <c r="A147" s="3" t="str" cm="1">
        <f t="array" ref="A147">INDEX(Tencent!$A$2:$A$173,ROWS(Tencent!$A$2:$A$173)-ROW(A146)+1)</f>
        <v>07/01/2024</v>
      </c>
      <c r="B147" s="4">
        <f>(Apple!D147-Apple!E147)/Apple!E147</f>
        <v>0.10334476843910807</v>
      </c>
      <c r="C147" s="4">
        <f>(Microsoft!D147-Microsoft!E147)/Microsoft!E147</f>
        <v>7.7232883203032413E-2</v>
      </c>
      <c r="D147" s="4">
        <f>(Google!D147-Google!E147)/Google!E147</f>
        <v>5.3577722946774743E-2</v>
      </c>
      <c r="E147" s="4">
        <f>(Amazon!D147-Amazon!E147)/Amazon!E147</f>
        <v>0.13788575180564661</v>
      </c>
      <c r="F147" s="4">
        <f>(NVIDIA!D147-NVIDIA!E147)/NVIDIA!E147</f>
        <v>0.13953488372093023</v>
      </c>
      <c r="G147" s="4">
        <f>('Meta(Facebook)'!D147-'Meta(Facebook)'!E147)/'Meta(Facebook)'!E147</f>
        <v>6.2054507337526175E-2</v>
      </c>
      <c r="H147" s="4">
        <f>('Samsung 005930'!D147-'Samsung 005930'!E147)/'Samsung 005930'!E147</f>
        <v>8.7633087633087636E-2</v>
      </c>
      <c r="I147" s="4">
        <f>(Tesla!D147-Tesla!E147)/Tesla!E147</f>
        <v>0.20305242203052412</v>
      </c>
      <c r="J147" s="4">
        <f>(Intel!D147-Intel!E147)/Intel!E147</f>
        <v>8.6755171349181912E-2</v>
      </c>
      <c r="K147" s="4">
        <f>(Tencent!D147-Tencent!E147)/Tencent!E147</f>
        <v>6.6856698626587274E-2</v>
      </c>
    </row>
    <row r="148" spans="1:11" x14ac:dyDescent="0.5">
      <c r="A148" s="3" t="str" cm="1">
        <f t="array" ref="A148">INDEX(Tencent!$A$2:$A$173,ROWS(Tencent!$A$2:$A$173)-ROW(A147)+1)</f>
        <v>08/01/2024</v>
      </c>
      <c r="B148" s="4">
        <f>(Apple!D148-Apple!E148)/Apple!E148</f>
        <v>7.4330164217804612E-2</v>
      </c>
      <c r="C148" s="4">
        <f>(Microsoft!D148-Microsoft!E148)/Microsoft!E148</f>
        <v>0.11352009744214382</v>
      </c>
      <c r="D148" s="4">
        <f>(Google!D148-Google!E148)/Google!E148</f>
        <v>6.431317721076546E-2</v>
      </c>
      <c r="E148" s="4">
        <f>(Amazon!D148-Amazon!E148)/Amazon!E148</f>
        <v>0.1699807568954457</v>
      </c>
      <c r="F148" s="4">
        <f>(NVIDIA!D148-NVIDIA!E148)/NVIDIA!E148</f>
        <v>0.1136363636363636</v>
      </c>
      <c r="G148" s="4">
        <f>('Meta(Facebook)'!D148-'Meta(Facebook)'!E148)/'Meta(Facebook)'!E148</f>
        <v>0.23356373573380476</v>
      </c>
      <c r="H148" s="4">
        <f>('Samsung 005930'!D148-'Samsung 005930'!E148)/'Samsung 005930'!E148</f>
        <v>9.8283931357254287E-2</v>
      </c>
      <c r="I148" s="4">
        <f>(Tesla!D148-Tesla!E148)/Tesla!E148</f>
        <v>0.13974719101123598</v>
      </c>
      <c r="J148" s="4">
        <f>(Intel!D148-Intel!E148)/Intel!E148</f>
        <v>0.14421813403416547</v>
      </c>
      <c r="K148" s="4">
        <f>(Tencent!D148-Tencent!E148)/Tencent!E148</f>
        <v>9.5424005810786319E-2</v>
      </c>
    </row>
    <row r="149" spans="1:11" x14ac:dyDescent="0.5">
      <c r="A149" s="3" t="str" cm="1">
        <f t="array" ref="A149">INDEX(Tencent!$A$2:$A$173,ROWS(Tencent!$A$2:$A$173)-ROW(A148)+1)</f>
        <v>09/01/2024</v>
      </c>
      <c r="B149" s="4">
        <f>(Apple!D149-Apple!E149)/Apple!E149</f>
        <v>6.8825910931174142E-2</v>
      </c>
      <c r="C149" s="4">
        <f>(Microsoft!D149-Microsoft!E149)/Microsoft!E149</f>
        <v>6.096337180130456E-2</v>
      </c>
      <c r="D149" s="4">
        <f>(Google!D149-Google!E149)/Google!E149</f>
        <v>7.7091706247716454E-2</v>
      </c>
      <c r="E149" s="4">
        <f>(Amazon!D149-Amazon!E149)/Amazon!E149</f>
        <v>0.12179065174456878</v>
      </c>
      <c r="F149" s="4">
        <f>(NVIDIA!D149-NVIDIA!E149)/NVIDIA!E149</f>
        <v>6.5217391304347755E-2</v>
      </c>
      <c r="G149" s="4">
        <f>('Meta(Facebook)'!D149-'Meta(Facebook)'!E149)/'Meta(Facebook)'!E149</f>
        <v>0.10050169930409453</v>
      </c>
      <c r="H149" s="4">
        <f>('Samsung 005930'!D149-'Samsung 005930'!E149)/'Samsung 005930'!E149</f>
        <v>0.15354938271604937</v>
      </c>
      <c r="I149" s="4">
        <f>(Tesla!D149-Tesla!E149)/Tesla!E149</f>
        <v>0.22740963855421698</v>
      </c>
      <c r="J149" s="4">
        <f>(Intel!D149-Intel!E149)/Intel!E149</f>
        <v>0.14306784660766958</v>
      </c>
      <c r="K149" s="4">
        <f>(Tencent!D149-Tencent!E149)/Tencent!E149</f>
        <v>0.10949934522010683</v>
      </c>
    </row>
    <row r="150" spans="1:11" x14ac:dyDescent="0.5">
      <c r="A150" s="3" t="str" cm="1">
        <f t="array" ref="A150">INDEX(Tencent!$A$2:$A$173,ROWS(Tencent!$A$2:$A$173)-ROW(A149)+1)</f>
        <v>10/01/2024</v>
      </c>
      <c r="B150" s="4">
        <f>(Apple!D150-Apple!E150)/Apple!E150</f>
        <v>0.10998552821997111</v>
      </c>
      <c r="C150" s="4">
        <f>(Microsoft!D150-Microsoft!E150)/Microsoft!E150</f>
        <v>6.3879511815112977E-2</v>
      </c>
      <c r="D150" s="4">
        <f>(Google!D150-Google!E150)/Google!E150</f>
        <v>0.13033268101761245</v>
      </c>
      <c r="E150" s="4">
        <f>(Amazon!D150-Amazon!E150)/Amazon!E150</f>
        <v>0.10689170182841065</v>
      </c>
      <c r="F150" s="4">
        <f>(NVIDIA!D150-NVIDIA!E150)/NVIDIA!E150</f>
        <v>9.090909090909087E-2</v>
      </c>
      <c r="G150" s="4">
        <f>('Meta(Facebook)'!D150-'Meta(Facebook)'!E150)/'Meta(Facebook)'!E150</f>
        <v>0.14290792747955919</v>
      </c>
      <c r="H150" s="4">
        <f>('Samsung 005930'!D150-'Samsung 005930'!E150)/'Samsung 005930'!E150</f>
        <v>0.11764705882352941</v>
      </c>
      <c r="I150" s="4">
        <f>(Tesla!D150-Tesla!E150)/Tesla!E150</f>
        <v>0.23454699407281959</v>
      </c>
      <c r="J150" s="4">
        <f>(Intel!D150-Intel!E150)/Intel!E150</f>
        <v>6.138306138306146E-2</v>
      </c>
      <c r="K150" s="4">
        <f>(Tencent!D150-Tencent!E150)/Tencent!E150</f>
        <v>0.23121791880541306</v>
      </c>
    </row>
    <row r="151" spans="1:11" x14ac:dyDescent="0.5">
      <c r="A151" s="3" t="str" cm="1">
        <f t="array" ref="A151">INDEX(Tencent!$A$2:$A$173,ROWS(Tencent!$A$2:$A$173)-ROW(A150)+1)</f>
        <v>11/01/2024</v>
      </c>
      <c r="B151" s="4">
        <f>(Apple!D151-Apple!E151)/Apple!E151</f>
        <v>0.17250821467688929</v>
      </c>
      <c r="C151" s="4">
        <f>(Microsoft!D151-Microsoft!E151)/Microsoft!E151</f>
        <v>7.0951156812339281E-2</v>
      </c>
      <c r="D151" s="4">
        <f>(Google!D151-Google!E151)/Google!E151</f>
        <v>0.15146771037182</v>
      </c>
      <c r="E151" s="4">
        <f>(Amazon!D151-Amazon!E151)/Amazon!E151</f>
        <v>0.20902777777777776</v>
      </c>
      <c r="F151" s="4">
        <f>(NVIDIA!D151-NVIDIA!E151)/NVIDIA!E151</f>
        <v>8.8888888888888837E-2</v>
      </c>
      <c r="G151" s="4">
        <f>('Meta(Facebook)'!D151-'Meta(Facebook)'!E151)/'Meta(Facebook)'!E151</f>
        <v>0.16922795462861326</v>
      </c>
      <c r="H151" s="4">
        <f>('Samsung 005930'!D151-'Samsung 005930'!E151)/'Samsung 005930'!E151</f>
        <v>7.6923076923076927E-2</v>
      </c>
      <c r="I151" s="4">
        <f>(Tesla!D151-Tesla!E151)/Tesla!E151</f>
        <v>0.27908868999186343</v>
      </c>
      <c r="J151" s="4">
        <f>(Intel!D151-Intel!E151)/Intel!E151</f>
        <v>6.2402496099843913E-2</v>
      </c>
      <c r="K151" s="4">
        <f>(Tencent!D151-Tencent!E151)/Tencent!E151</f>
        <v>0.19458183453237415</v>
      </c>
    </row>
    <row r="152" spans="1:11" x14ac:dyDescent="0.5">
      <c r="A152" s="3" t="str" cm="1">
        <f t="array" ref="A152">INDEX(Tencent!$A$2:$A$173,ROWS(Tencent!$A$2:$A$173)-ROW(A151)+1)</f>
        <v>12/01/2024</v>
      </c>
      <c r="B152" s="4">
        <f>(Apple!D152-Apple!E152)/Apple!E152</f>
        <v>5.0348152115693497E-2</v>
      </c>
      <c r="C152" s="4">
        <f>(Microsoft!D152-Microsoft!E152)/Microsoft!E152</f>
        <v>0.10696185649506529</v>
      </c>
      <c r="D152" s="4">
        <f>(Google!D152-Google!E152)/Google!E152</f>
        <v>0.11312545322697612</v>
      </c>
      <c r="E152" s="4">
        <f>(Amazon!D152-Amazon!E152)/Amazon!E152</f>
        <v>0.15840386940749704</v>
      </c>
      <c r="F152" s="4">
        <f>(NVIDIA!D152-NVIDIA!E152)/NVIDIA!E152</f>
        <v>6.8181818181818121E-2</v>
      </c>
      <c r="G152" s="4">
        <f>('Meta(Facebook)'!D152-'Meta(Facebook)'!E152)/'Meta(Facebook)'!E152</f>
        <v>0.25198344256640232</v>
      </c>
      <c r="H152" s="4">
        <f>('Samsung 005930'!D152-'Samsung 005930'!E152)/'Samsung 005930'!E152</f>
        <v>8.380338436744561E-2</v>
      </c>
      <c r="I152" s="4">
        <f>(Tesla!D152-Tesla!E152)/Tesla!E152</f>
        <v>0.28085735402808565</v>
      </c>
      <c r="J152" s="4">
        <f>(Intel!D152-Intel!E152)/Intel!E152</f>
        <v>7.2427983539094562E-2</v>
      </c>
      <c r="K152" s="4">
        <f>(Tencent!D152-Tencent!E152)/Tencent!E152</f>
        <v>0.25917309929153015</v>
      </c>
    </row>
    <row r="153" spans="1:11" x14ac:dyDescent="0.5">
      <c r="A153" s="3" t="str" cm="1">
        <f t="array" ref="A153">INDEX(Tencent!$A$2:$A$173,ROWS(Tencent!$A$2:$A$173)-ROW(A152)+1)</f>
        <v>01/01/2025</v>
      </c>
      <c r="B153" s="4">
        <f>(Apple!D153-Apple!E153)/Apple!E153</f>
        <v>0.10431856421761095</v>
      </c>
      <c r="C153" s="4">
        <f>(Microsoft!D153-Microsoft!E153)/Microsoft!E153</f>
        <v>7.7612776688148033E-2</v>
      </c>
      <c r="D153" s="4">
        <f>(Google!D153-Google!E153)/Google!E153</f>
        <v>8.926673751328372E-2</v>
      </c>
      <c r="E153" s="4">
        <f>(Amazon!D153-Amazon!E153)/Amazon!E153</f>
        <v>8.2889283599763081E-2</v>
      </c>
      <c r="F153" s="4">
        <f>(NVIDIA!D153-NVIDIA!E153)/NVIDIA!E153</f>
        <v>0.26315789473684204</v>
      </c>
      <c r="G153" s="4">
        <f>('Meta(Facebook)'!D153-'Meta(Facebook)'!E153)/'Meta(Facebook)'!E153</f>
        <v>0.17693574958813829</v>
      </c>
      <c r="H153" s="4">
        <f>('Samsung 005930'!D153-'Samsung 005930'!E153)/'Samsung 005930'!E153</f>
        <v>9.3192868719611022E-2</v>
      </c>
      <c r="I153" s="4">
        <f>(Tesla!D153-Tesla!E153)/Tesla!E153</f>
        <v>0.56510186005314467</v>
      </c>
      <c r="J153" s="4">
        <f>(Intel!D153-Intel!E153)/Intel!E153</f>
        <v>6.2978723404255338E-2</v>
      </c>
      <c r="K153" s="4">
        <f>(Tencent!D153-Tencent!E153)/Tencent!E153</f>
        <v>0.26201584029510677</v>
      </c>
    </row>
    <row r="154" spans="1:11" x14ac:dyDescent="0.5">
      <c r="A154" s="3" t="str" cm="1">
        <f t="array" ref="A154">INDEX(Tencent!$A$2:$A$173,ROWS(Tencent!$A$2:$A$173)-ROW(A153)+1)</f>
        <v>02/01/2025</v>
      </c>
      <c r="B154" s="4">
        <f>(Apple!D154-Apple!E154)/Apple!E154</f>
        <v>0.13499716392512778</v>
      </c>
      <c r="C154" s="4">
        <f>(Microsoft!D154-Microsoft!E154)/Microsoft!E154</f>
        <v>9.4138030609298234E-2</v>
      </c>
      <c r="D154" s="4">
        <f>(Google!D154-Google!E154)/Google!E154</f>
        <v>9.6381093057607212E-2</v>
      </c>
      <c r="E154" s="4">
        <f>(Amazon!D154-Amazon!E154)/Amazon!E154</f>
        <v>0.14030184460592499</v>
      </c>
      <c r="F154" s="4">
        <f>(NVIDIA!D154-NVIDIA!E154)/NVIDIA!E154</f>
        <v>7.8947368421052558E-2</v>
      </c>
      <c r="G154" s="4">
        <f>('Meta(Facebook)'!D154-'Meta(Facebook)'!E154)/'Meta(Facebook)'!E154</f>
        <v>0.22217936354869808</v>
      </c>
      <c r="H154" s="4">
        <f>('Samsung 005930'!D154-'Samsung 005930'!E154)/'Samsung 005930'!E154</f>
        <v>6.5251572327044025E-2</v>
      </c>
      <c r="I154" s="4">
        <f>(Tesla!D154-Tesla!E154)/Tesla!E154</f>
        <v>0.36114160263446776</v>
      </c>
      <c r="J154" s="4">
        <f>(Intel!D154-Intel!E154)/Intel!E154</f>
        <v>0.11147540983606567</v>
      </c>
      <c r="K154" s="4">
        <f>(Tencent!D154-Tencent!E154)/Tencent!E154</f>
        <v>0.13256679066621582</v>
      </c>
    </row>
    <row r="155" spans="1:11" x14ac:dyDescent="0.5">
      <c r="A155" s="3" t="str" cm="1">
        <f t="array" ref="A155">INDEX(Tencent!$A$2:$A$173,ROWS(Tencent!$A$2:$A$173)-ROW(A154)+1)</f>
        <v>03/01/2025</v>
      </c>
      <c r="B155" s="4">
        <f>(Apple!D155-Apple!E155)/Apple!E155</f>
        <v>6.7567567567567613E-2</v>
      </c>
      <c r="C155" s="4">
        <f>(Microsoft!D155-Microsoft!E155)/Microsoft!E155</f>
        <v>9.7101041373487074E-2</v>
      </c>
      <c r="D155" s="4">
        <f>(Google!D155-Google!E155)/Google!E155</f>
        <v>6.8571428571428603E-2</v>
      </c>
      <c r="E155" s="4">
        <f>(Amazon!D155-Amazon!E155)/Amazon!E155</f>
        <v>6.8493150684931545E-2</v>
      </c>
      <c r="F155" s="4">
        <f>(NVIDIA!D155-NVIDIA!E155)/NVIDIA!E155</f>
        <v>8.1081081081081155E-2</v>
      </c>
      <c r="G155" s="4">
        <f>('Meta(Facebook)'!D155-'Meta(Facebook)'!E155)/'Meta(Facebook)'!E155</f>
        <v>0.26632079550367488</v>
      </c>
      <c r="H155" s="4">
        <f>('Samsung 005930'!D155-'Samsung 005930'!E155)/'Samsung 005930'!E155</f>
        <v>0.10514705882352941</v>
      </c>
      <c r="I155" s="4">
        <f>(Tesla!D155-Tesla!E155)/Tesla!E155</f>
        <v>0.27481840193704599</v>
      </c>
      <c r="J155" s="4">
        <f>(Intel!D155-Intel!E155)/Intel!E155</f>
        <v>0.11282051282051285</v>
      </c>
      <c r="K155" s="4">
        <f>(Tencent!D155-Tencent!E155)/Tencent!E155</f>
        <v>0.1409197386265566</v>
      </c>
    </row>
    <row r="156" spans="1:11" x14ac:dyDescent="0.5">
      <c r="A156" s="3" t="str" cm="1">
        <f t="array" ref="A156">INDEX(Tencent!$A$2:$A$173,ROWS(Tencent!$A$2:$A$173)-ROW(A155)+1)</f>
        <v>04/01/2025</v>
      </c>
      <c r="B156" s="4">
        <f>(Apple!D156-Apple!E156)/Apple!E156</f>
        <v>8.9617486338797847E-2</v>
      </c>
      <c r="C156" s="4">
        <f>(Microsoft!D156-Microsoft!E156)/Microsoft!E156</f>
        <v>8.1944051992088124E-2</v>
      </c>
      <c r="D156" s="4">
        <f>(Google!D156-Google!E156)/Google!E156</f>
        <v>6.2823061630218766E-2</v>
      </c>
      <c r="E156" s="4">
        <f>(Amazon!D156-Amazon!E156)/Amazon!E156</f>
        <v>0.15272088940901107</v>
      </c>
      <c r="F156" s="4">
        <f>(NVIDIA!D156-NVIDIA!E156)/NVIDIA!E156</f>
        <v>0.13888888888888887</v>
      </c>
      <c r="G156" s="4">
        <f>('Meta(Facebook)'!D156-'Meta(Facebook)'!E156)/'Meta(Facebook)'!E156</f>
        <v>0.19609644087256042</v>
      </c>
      <c r="H156" s="4">
        <f>('Samsung 005930'!D156-'Samsung 005930'!E156)/'Samsung 005930'!E156</f>
        <v>6.7519545131485434E-2</v>
      </c>
      <c r="I156" s="4">
        <f>(Tesla!D156-Tesla!E156)/Tesla!E156</f>
        <v>0.56330749354005161</v>
      </c>
      <c r="J156" s="4">
        <f>(Intel!D156-Intel!E156)/Intel!E156</f>
        <v>7.617021276595741E-2</v>
      </c>
      <c r="K156" s="4">
        <f>(Tencent!D156-Tencent!E156)/Tencent!E156</f>
        <v>0.15876346342145767</v>
      </c>
    </row>
    <row r="157" spans="1:11" x14ac:dyDescent="0.5">
      <c r="A157" s="3" t="str" cm="1">
        <f t="array" ref="A157">INDEX(Tencent!$A$2:$A$173,ROWS(Tencent!$A$2:$A$173)-ROW(A156)+1)</f>
        <v>05/01/2025</v>
      </c>
      <c r="B157" s="4">
        <f>(Apple!D157-Apple!E157)/Apple!E157</f>
        <v>0.12763466042154586</v>
      </c>
      <c r="C157" s="4">
        <f>(Microsoft!D157-Microsoft!E157)/Microsoft!E157</f>
        <v>0.10640243902439031</v>
      </c>
      <c r="D157" s="4">
        <f>(Google!D157-Google!E157)/Google!E157</f>
        <v>0.23565670934091981</v>
      </c>
      <c r="E157" s="4">
        <f>(Amazon!D157-Amazon!E157)/Amazon!E157</f>
        <v>0.24207687120701293</v>
      </c>
      <c r="F157" s="4">
        <f>(NVIDIA!D157-NVIDIA!E157)/NVIDIA!E157</f>
        <v>5.2631578947368467E-2</v>
      </c>
      <c r="G157" s="4">
        <f>('Meta(Facebook)'!D157-'Meta(Facebook)'!E157)/'Meta(Facebook)'!E157</f>
        <v>0.2114449845338047</v>
      </c>
      <c r="H157" s="4">
        <f>('Samsung 005930'!D157-'Samsung 005930'!E157)/'Samsung 005930'!E157</f>
        <v>0.10441176470588236</v>
      </c>
      <c r="I157" s="4">
        <f>(Tesla!D157-Tesla!E157)/Tesla!E157</f>
        <v>0.26960784313725494</v>
      </c>
      <c r="J157" s="4">
        <f>(Intel!D157-Intel!E157)/Intel!E157</f>
        <v>0.10008896797153025</v>
      </c>
      <c r="K157" s="4">
        <f>(Tencent!D157-Tencent!E157)/Tencent!E157</f>
        <v>0.13076300889727674</v>
      </c>
    </row>
    <row r="158" spans="1:11" x14ac:dyDescent="0.5">
      <c r="A158" s="3" t="str" cm="1">
        <f t="array" ref="A158">INDEX(Tencent!$A$2:$A$173,ROWS(Tencent!$A$2:$A$173)-ROW(A157)+1)</f>
        <v>06/01/2025</v>
      </c>
      <c r="B158" s="4">
        <f>(Apple!D158-Apple!E158)/Apple!E158</f>
        <v>0.1358797745773325</v>
      </c>
      <c r="C158" s="4">
        <f>(Microsoft!D158-Microsoft!E158)/Microsoft!E158</f>
        <v>9.0468497576736695E-2</v>
      </c>
      <c r="D158" s="4">
        <f>(Google!D158-Google!E158)/Google!E158</f>
        <v>6.0832943378568115E-2</v>
      </c>
      <c r="E158" s="4">
        <f>(Amazon!D158-Amazon!E158)/Amazon!E158</f>
        <v>0.12807881773399016</v>
      </c>
      <c r="F158" s="4">
        <f>(NVIDIA!D158-NVIDIA!E158)/NVIDIA!E158</f>
        <v>8.1081081081081155E-2</v>
      </c>
      <c r="G158" s="4">
        <f>('Meta(Facebook)'!D158-'Meta(Facebook)'!E158)/'Meta(Facebook)'!E158</f>
        <v>0.24517374517374527</v>
      </c>
      <c r="H158" s="4">
        <f>('Samsung 005930'!D158-'Samsung 005930'!E158)/'Samsung 005930'!E158</f>
        <v>7.8728236184708561E-2</v>
      </c>
      <c r="I158" s="4">
        <f>(Tesla!D158-Tesla!E158)/Tesla!E158</f>
        <v>0.22705771050141912</v>
      </c>
      <c r="J158" s="4">
        <f>(Intel!D158-Intel!E158)/Intel!E158</f>
        <v>9.6495220755575831E-2</v>
      </c>
      <c r="K158" s="4">
        <f>(Tencent!D158-Tencent!E158)/Tencent!E158</f>
        <v>0.15107169253510713</v>
      </c>
    </row>
    <row r="159" spans="1:11" x14ac:dyDescent="0.5">
      <c r="A159" s="3" cm="1">
        <f t="array" ref="A159">INDEX(Tencent!$A$2:$A$173,ROWS(Tencent!$A$2:$A$173)-ROW(A158)+1)</f>
        <v>45839</v>
      </c>
      <c r="B159" s="4">
        <f>(Apple!D159-Apple!E159)/Apple!E159</f>
        <v>0.13341568869672638</v>
      </c>
      <c r="C159" s="4">
        <f>(Microsoft!D159-Microsoft!E159)/Microsoft!E159</f>
        <v>0.14137483787289246</v>
      </c>
      <c r="D159" s="4">
        <f>(Google!D159-Google!E159)/Google!E159</f>
        <v>7.5614366729678709E-2</v>
      </c>
      <c r="E159" s="4">
        <f>(Amazon!D159-Amazon!E159)/Amazon!E159</f>
        <v>9.5919828203292756E-2</v>
      </c>
      <c r="F159" s="4">
        <f>(NVIDIA!D159-NVIDIA!E159)/NVIDIA!E159</f>
        <v>0.1818181818181818</v>
      </c>
      <c r="G159" s="4">
        <f>('Meta(Facebook)'!D159-'Meta(Facebook)'!E159)/'Meta(Facebook)'!E159</f>
        <v>0.17323709050527469</v>
      </c>
      <c r="H159" s="4">
        <f>('Samsung 005930'!D159-'Samsung 005930'!E159)/'Samsung 005930'!E159</f>
        <v>0.12778235779060182</v>
      </c>
      <c r="I159" s="4">
        <f>(Tesla!D159-Tesla!E159)/Tesla!E159</f>
        <v>0.30725623582766426</v>
      </c>
      <c r="J159" s="4">
        <f>(Intel!D159-Intel!E159)/Intel!E159</f>
        <v>7.3092736409319223E-2</v>
      </c>
      <c r="K159" s="4">
        <f>(Tencent!D159-Tencent!E159)/Tencent!E159</f>
        <v>8.2689335394126651E-2</v>
      </c>
    </row>
    <row r="160" spans="1:11" x14ac:dyDescent="0.5">
      <c r="A160" s="3" cm="1">
        <f t="array" ref="A160">INDEX(Tencent!$A$2:$A$173,ROWS(Tencent!$A$2:$A$173)-ROW(A159)+1)</f>
        <v>45870</v>
      </c>
      <c r="B160" s="4">
        <f>(Apple!D160-Apple!E160)/Apple!E160</f>
        <v>0.1395673412421492</v>
      </c>
      <c r="C160" s="4">
        <f>(Microsoft!D160-Microsoft!E160)/Microsoft!E160</f>
        <v>0.17440361057382334</v>
      </c>
      <c r="D160" s="4">
        <f>(Google!D160-Google!E160)/Google!E160</f>
        <v>5.9790050205385609E-2</v>
      </c>
      <c r="E160" s="4">
        <f>(Amazon!D160-Amazon!E160)/Amazon!E160</f>
        <v>0.13131313131313133</v>
      </c>
      <c r="F160" s="4">
        <f>(NVIDIA!D160-NVIDIA!E160)/NVIDIA!E160</f>
        <v>5.7142857142857197E-2</v>
      </c>
      <c r="G160" s="4">
        <f>('Meta(Facebook)'!D160-'Meta(Facebook)'!E160)/'Meta(Facebook)'!E160</f>
        <v>0.58633540372670823</v>
      </c>
      <c r="H160" s="4">
        <f>('Samsung 005930'!D160-'Samsung 005930'!E160)/'Samsung 005930'!E160</f>
        <v>0.11827956989247312</v>
      </c>
      <c r="I160" s="4">
        <f>(Tesla!D160-Tesla!E160)/Tesla!E160</f>
        <v>0.31563845050215211</v>
      </c>
      <c r="J160" s="4">
        <f>(Intel!D160-Intel!E160)/Intel!E160</f>
        <v>7.9540433053468876E-2</v>
      </c>
      <c r="K160" s="4">
        <f>(Tencent!D160-Tencent!E160)/Tencent!E160</f>
        <v>0.22983870967741921</v>
      </c>
    </row>
    <row r="161" spans="1:11" x14ac:dyDescent="0.5">
      <c r="A161" s="3" cm="1">
        <f t="array" ref="A161">INDEX(Tencent!$A$2:$A$173,ROWS(Tencent!$A$2:$A$173)-ROW(A160)+1)</f>
        <v>45901</v>
      </c>
      <c r="B161" s="4">
        <f>(Apple!D161-Apple!E161)/Apple!E161</f>
        <v>0.16846652267818574</v>
      </c>
      <c r="C161" s="4">
        <f>(Microsoft!D161-Microsoft!E161)/Microsoft!E161</f>
        <v>9.8556954252379522E-2</v>
      </c>
      <c r="D161" s="4">
        <f>(Google!D161-Google!E161)/Google!E161</f>
        <v>7.4999999999999997E-2</v>
      </c>
      <c r="E161" s="4">
        <f>(Amazon!D161-Amazon!E161)/Amazon!E161</f>
        <v>7.7566539923954334E-2</v>
      </c>
      <c r="F161" s="4">
        <f>(NVIDIA!D161-NVIDIA!E161)/NVIDIA!E161</f>
        <v>0.11428571428571439</v>
      </c>
      <c r="G161" s="4">
        <f>('Meta(Facebook)'!D161-'Meta(Facebook)'!E161)/'Meta(Facebook)'!E161</f>
        <v>0.11116012351124832</v>
      </c>
      <c r="H161" s="4">
        <f>('Samsung 005930'!D161-'Samsung 005930'!E161)/'Samsung 005930'!E161</f>
        <v>0.25220883534136546</v>
      </c>
      <c r="I161" s="4">
        <f>(Tesla!D161-Tesla!E161)/Tesla!E161</f>
        <v>0.24999999999999997</v>
      </c>
      <c r="J161" s="4">
        <f>(Intel!D161-Intel!E161)/Intel!E161</f>
        <v>0.10978214438274243</v>
      </c>
      <c r="K161" s="4">
        <f>(Tencent!D161-Tencent!E161)/Tencent!E161</f>
        <v>0.16935159081755949</v>
      </c>
    </row>
    <row r="162" spans="1:11" x14ac:dyDescent="0.5">
      <c r="A162" s="3" cm="1">
        <f t="array" ref="A162">INDEX(Tencent!$A$2:$A$173,ROWS(Tencent!$A$2:$A$173)-ROW(A161)+1)</f>
        <v>45931</v>
      </c>
      <c r="B162" s="4">
        <f>(Apple!D162-Apple!E162)/Apple!E162</f>
        <v>0.11163101604278061</v>
      </c>
      <c r="C162" s="4">
        <f>(Microsoft!D162-Microsoft!E162)/Microsoft!E162</f>
        <v>9.158415841584161E-2</v>
      </c>
      <c r="D162" s="4">
        <f>(Google!D162-Google!E162)/Google!E162</f>
        <v>0.12775330396475768</v>
      </c>
      <c r="E162" s="4">
        <f>(Amazon!D162-Amazon!E162)/Amazon!E162</f>
        <v>0.10659072416598865</v>
      </c>
      <c r="F162" s="4">
        <f>(NVIDIA!D162-NVIDIA!E162)/NVIDIA!E162</f>
        <v>8.8235294117646967E-2</v>
      </c>
      <c r="G162" s="4">
        <f>('Meta(Facebook)'!D162-'Meta(Facebook)'!E162)/'Meta(Facebook)'!E162</f>
        <v>0.24978503869303517</v>
      </c>
      <c r="H162" s="4">
        <f>('Samsung 005930'!D162-'Samsung 005930'!E162)/'Samsung 005930'!E162</f>
        <v>6.6347469220246244E-2</v>
      </c>
      <c r="I162" s="4">
        <f>(Tesla!D162-Tesla!E162)/Tesla!E162</f>
        <v>1.1699716713881023</v>
      </c>
      <c r="J162" s="4">
        <f>(Intel!D162-Intel!E162)/Intel!E162</f>
        <v>4.7921967769296123E-2</v>
      </c>
      <c r="K162" s="4">
        <f>(Tencent!D162-Tencent!E162)/Tencent!E162</f>
        <v>0.17689456342668855</v>
      </c>
    </row>
    <row r="163" spans="1:11" x14ac:dyDescent="0.5">
      <c r="A163" s="3" cm="1">
        <f t="array" ref="A163">INDEX(Tencent!$A$2:$A$173,ROWS(Tencent!$A$2:$A$173)-ROW(A162)+1)</f>
        <v>45962</v>
      </c>
      <c r="B163" s="4">
        <f>(Apple!D163-Apple!E163)/Apple!E163</f>
        <v>0.1563636363636364</v>
      </c>
      <c r="C163" s="4">
        <f>(Microsoft!D163-Microsoft!E163)/Microsoft!E163</f>
        <v>0.17787264318747778</v>
      </c>
      <c r="D163" s="4">
        <f>(Google!D163-Google!E163)/Google!E163</f>
        <v>8.7139107611548555E-2</v>
      </c>
      <c r="E163" s="4">
        <f>(Amazon!D163-Amazon!E163)/Amazon!E163</f>
        <v>0.10941271118262265</v>
      </c>
      <c r="F163" s="4">
        <f>(NVIDIA!D163-NVIDIA!E163)/NVIDIA!E163</f>
        <v>0.13333333333333347</v>
      </c>
      <c r="G163" s="4">
        <f>('Meta(Facebook)'!D163-'Meta(Facebook)'!E163)/'Meta(Facebook)'!E163</f>
        <v>0.11729622266401603</v>
      </c>
      <c r="H163" s="4">
        <f>('Samsung 005930'!D163-'Samsung 005930'!E163)/'Samsung 005930'!E163</f>
        <v>7.628865979381444E-2</v>
      </c>
      <c r="I163" s="4">
        <f>(Tesla!D163-Tesla!E163)/Tesla!E163</f>
        <v>0.4477611940298506</v>
      </c>
      <c r="J163" s="4">
        <f>(Intel!D163-Intel!E163)/Intel!E163</f>
        <v>0.15662650602409639</v>
      </c>
      <c r="K163" s="4">
        <f>(Tencent!D163-Tencent!E163)/Tencent!E163</f>
        <v>0.13321126115815979</v>
      </c>
    </row>
    <row r="164" spans="1:11" x14ac:dyDescent="0.5">
      <c r="A164" s="3" cm="1">
        <f t="array" ref="A164">INDEX(Tencent!$A$2:$A$173,ROWS(Tencent!$A$2:$A$173)-ROW(A163)+1)</f>
        <v>45992</v>
      </c>
      <c r="B164" s="4">
        <f>(Apple!D164-Apple!E164)/Apple!E164</f>
        <v>0.1216577540106952</v>
      </c>
      <c r="C164" s="4">
        <f>(Microsoft!D164-Microsoft!E164)/Microsoft!E164</f>
        <v>4.1424418604651181E-2</v>
      </c>
      <c r="D164" s="4">
        <f>(Google!D164-Google!E164)/Google!E164</f>
        <v>6.3979848866498712E-2</v>
      </c>
      <c r="E164" s="4">
        <f>(Amazon!D164-Amazon!E164)/Amazon!E164</f>
        <v>0.10079365079365077</v>
      </c>
      <c r="F164" s="4">
        <f>(NVIDIA!D164-NVIDIA!E164)/NVIDIA!E164</f>
        <v>6.4516129032258118E-2</v>
      </c>
      <c r="G164" s="4">
        <f>('Meta(Facebook)'!D164-'Meta(Facebook)'!E164)/'Meta(Facebook)'!E164</f>
        <v>0.1597896440129451</v>
      </c>
      <c r="H164" s="4">
        <f>('Samsung 005930'!D164-'Samsung 005930'!E164)/'Samsung 005930'!E164</f>
        <v>9.832635983263599E-2</v>
      </c>
      <c r="I164" s="4">
        <f>(Tesla!D164-Tesla!E164)/Tesla!E164</f>
        <v>0.15350877192982462</v>
      </c>
      <c r="J164" s="4">
        <f>(Intel!D164-Intel!E164)/Intel!E164</f>
        <v>6.6795740561471389E-2</v>
      </c>
      <c r="K164" s="4">
        <f>(Tencent!D164-Tencent!E164)/Tencent!E164</f>
        <v>0.19453410802668386</v>
      </c>
    </row>
    <row r="165" spans="1:11" x14ac:dyDescent="0.5">
      <c r="A165" s="3" cm="1">
        <f t="array" ref="A165">INDEX(Tencent!$A$2:$A$173,ROWS(Tencent!$A$2:$A$173)-ROW(A164)+1)</f>
        <v>46023</v>
      </c>
      <c r="B165" s="4">
        <f>(Apple!D165-Apple!E165)/Apple!E165</f>
        <v>0.10812539987204091</v>
      </c>
      <c r="C165" s="4">
        <f>(Microsoft!D165-Microsoft!E165)/Microsoft!E165</f>
        <v>4.0590405904058963E-2</v>
      </c>
      <c r="D165" s="4">
        <f>(Google!D165-Google!E165)/Google!E165</f>
        <v>6.6947812335266185E-2</v>
      </c>
      <c r="E165" s="4">
        <f>(Amazon!D165-Amazon!E165)/Amazon!E165</f>
        <v>7.4451410658307293E-2</v>
      </c>
      <c r="F165" s="4">
        <f>(NVIDIA!D165-NVIDIA!E165)/NVIDIA!E165</f>
        <v>6.6666666666666735E-2</v>
      </c>
      <c r="G165" s="4">
        <f>('Meta(Facebook)'!D165-'Meta(Facebook)'!E165)/'Meta(Facebook)'!E165</f>
        <v>0.1776765375854214</v>
      </c>
      <c r="H165" s="4">
        <f>('Samsung 005930'!D165-'Samsung 005930'!E165)/'Samsung 005930'!E165</f>
        <v>0.10254596888260255</v>
      </c>
      <c r="I165" s="4">
        <f>(Tesla!D165-Tesla!E165)/Tesla!E165</f>
        <v>0.18666666666666665</v>
      </c>
      <c r="J165" s="4">
        <f>(Intel!D165-Intel!E165)/Intel!E165</f>
        <v>6.3681592039800866E-2</v>
      </c>
      <c r="K165" s="4">
        <f>(Tencent!D165-Tencent!E165)/Tencent!E165</f>
        <v>6.1604865607219943E-2</v>
      </c>
    </row>
    <row r="166" spans="1:11" x14ac:dyDescent="0.5">
      <c r="A166" s="3" cm="1">
        <f t="array" ref="A166">INDEX(Tencent!$A$2:$A$173,ROWS(Tencent!$A$2:$A$173)-ROW(A165)+1)</f>
        <v>46054</v>
      </c>
      <c r="B166" s="4">
        <f>(Apple!D166-Apple!E166)/Apple!E166</f>
        <v>0.27541827541827552</v>
      </c>
      <c r="C166" s="4">
        <f>(Microsoft!D166-Microsoft!E166)/Microsoft!E166</f>
        <v>7.4200913242009101E-2</v>
      </c>
      <c r="D166" s="4">
        <f>(Google!D166-Google!E166)/Google!E166</f>
        <v>9.4252873563218431E-2</v>
      </c>
      <c r="E166" s="4">
        <f>(Amazon!D166-Amazon!E166)/Amazon!E166</f>
        <v>0.12480252764612955</v>
      </c>
      <c r="F166" s="4">
        <f>(NVIDIA!D166-NVIDIA!E166)/NVIDIA!E166</f>
        <v>0.10000000000000009</v>
      </c>
      <c r="G166" s="4">
        <f>('Meta(Facebook)'!D166-'Meta(Facebook)'!E166)/'Meta(Facebook)'!E166</f>
        <v>0.185630926331145</v>
      </c>
      <c r="H166" s="4">
        <f>('Samsung 005930'!D166-'Samsung 005930'!E166)/'Samsung 005930'!E166</f>
        <v>0.15536105032822758</v>
      </c>
      <c r="I166" s="4">
        <f>(Tesla!D166-Tesla!E166)/Tesla!E166</f>
        <v>0.20560747663551399</v>
      </c>
      <c r="J166" s="4">
        <f>(Intel!D166-Intel!E166)/Intel!E166</f>
        <v>0.10440613026819923</v>
      </c>
      <c r="K166" s="4">
        <f>(Tencent!D166-Tencent!E166)/Tencent!E166</f>
        <v>8.9432565789473714E-2</v>
      </c>
    </row>
    <row r="167" spans="1:11" x14ac:dyDescent="0.5">
      <c r="A167" s="3" cm="1">
        <f t="array" ref="A167">INDEX(Tencent!$A$2:$A$173,ROWS(Tencent!$A$2:$A$173)-ROW(A166)+1)</f>
        <v>46082</v>
      </c>
      <c r="B167" s="4">
        <f>(Apple!D167-Apple!E167)/Apple!E167</f>
        <v>0.18659217877094972</v>
      </c>
      <c r="C167" s="4">
        <f>(Microsoft!D167-Microsoft!E167)/Microsoft!E167</f>
        <v>5.5978674790555932E-2</v>
      </c>
      <c r="D167" s="4">
        <f>(Google!D167-Google!E167)/Google!E167</f>
        <v>8.2015231400117086E-2</v>
      </c>
      <c r="E167" s="4">
        <f>(Amazon!D167-Amazon!E167)/Amazon!E167</f>
        <v>8.4019769357495847E-2</v>
      </c>
      <c r="F167" s="4">
        <f>(NVIDIA!D167-NVIDIA!E167)/NVIDIA!E167</f>
        <v>0.10344827586206906</v>
      </c>
      <c r="G167" s="4">
        <f>('Meta(Facebook)'!D167-'Meta(Facebook)'!E167)/'Meta(Facebook)'!E167</f>
        <v>0.14831013916500996</v>
      </c>
      <c r="H167" s="4">
        <f>('Samsung 005930'!D167-'Samsung 005930'!E167)/'Samsung 005930'!E167</f>
        <v>9.0909090909090912E-2</v>
      </c>
      <c r="I167" s="4">
        <f>(Tesla!D167-Tesla!E167)/Tesla!E167</f>
        <v>9.6330275229357776E-2</v>
      </c>
      <c r="J167" s="4">
        <f>(Intel!D167-Intel!E167)/Intel!E167</f>
        <v>9.2820512820512749E-2</v>
      </c>
      <c r="K167" s="4">
        <f>(Tencent!D167-Tencent!E167)/Tencent!E167</f>
        <v>6.5905664441094164E-2</v>
      </c>
    </row>
    <row r="168" spans="1:11" x14ac:dyDescent="0.5">
      <c r="A168" s="3" cm="1">
        <f t="array" ref="A168">INDEX(Tencent!$A$2:$A$173,ROWS(Tencent!$A$2:$A$173)-ROW(A167)+1)</f>
        <v>46113</v>
      </c>
      <c r="B168" s="4">
        <f>(Apple!D168-Apple!E168)/Apple!E168</f>
        <v>0.19269102990033227</v>
      </c>
      <c r="C168" s="4">
        <f>(Microsoft!D168-Microsoft!E168)/Microsoft!E168</f>
        <v>0.146545178435839</v>
      </c>
      <c r="D168" s="4">
        <f>(Google!D168-Google!E168)/Google!E168</f>
        <v>9.9246231155778894E-2</v>
      </c>
      <c r="E168" s="4">
        <f>(Amazon!D168-Amazon!E168)/Amazon!E168</f>
        <v>0.15765352887259401</v>
      </c>
      <c r="F168" s="4">
        <f>(NVIDIA!D168-NVIDIA!E168)/NVIDIA!E168</f>
        <v>0.17857142857142852</v>
      </c>
      <c r="G168" s="4">
        <f>('Meta(Facebook)'!D168-'Meta(Facebook)'!E168)/'Meta(Facebook)'!E168</f>
        <v>0.48383677795442492</v>
      </c>
      <c r="H168" s="4">
        <f>('Samsung 005930'!D168-'Samsung 005930'!E168)/'Samsung 005930'!E168</f>
        <v>0.1186046511627907</v>
      </c>
      <c r="I168" s="4">
        <f>(Tesla!D168-Tesla!E168)/Tesla!E168</f>
        <v>0.21808510638297882</v>
      </c>
      <c r="J168" s="4">
        <f>(Intel!D168-Intel!E168)/Intel!E168</f>
        <v>0.17212688507540294</v>
      </c>
      <c r="K168" s="4">
        <f>(Tencent!D168-Tencent!E168)/Tencent!E168</f>
        <v>0.15919234856535605</v>
      </c>
    </row>
    <row r="169" spans="1:11" x14ac:dyDescent="0.5">
      <c r="A169" s="3" cm="1">
        <f t="array" ref="A169">INDEX(Tencent!$A$2:$A$173,ROWS(Tencent!$A$2:$A$173)-ROW(A168)+1)</f>
        <v>46143</v>
      </c>
      <c r="B169" s="4">
        <f>(Apple!D169-Apple!E169)/Apple!E169</f>
        <v>0.15150071462601256</v>
      </c>
      <c r="C169" s="4">
        <f>(Microsoft!D169-Microsoft!E169)/Microsoft!E169</f>
        <v>8.9697406340057573E-2</v>
      </c>
      <c r="D169" s="4">
        <f>(Google!D169-Google!E169)/Google!E169</f>
        <v>0.15632458233890198</v>
      </c>
      <c r="E169" s="4">
        <f>(Amazon!D169-Amazon!E169)/Amazon!E169</f>
        <v>0.17488789237668154</v>
      </c>
      <c r="F169" s="4">
        <f>(NVIDIA!D169-NVIDIA!E169)/NVIDIA!E169</f>
        <v>0.13333333333333347</v>
      </c>
      <c r="G169" s="4">
        <f>('Meta(Facebook)'!D169-'Meta(Facebook)'!E169)/'Meta(Facebook)'!E169</f>
        <v>0.28989361702127653</v>
      </c>
      <c r="H169" s="4">
        <f>('Samsung 005930'!D169-'Samsung 005930'!E169)/'Samsung 005930'!E169</f>
        <v>8.9341692789968646E-2</v>
      </c>
      <c r="I169" s="4">
        <f>(Tesla!D169-Tesla!E169)/Tesla!E169</f>
        <v>0.12290502793296075</v>
      </c>
      <c r="J169" s="4">
        <f>(Intel!D169-Intel!E169)/Intel!E169</f>
        <v>9.1894439208294196E-2</v>
      </c>
      <c r="K169" s="4">
        <f>(Tencent!D169-Tencent!E169)/Tencent!E169</f>
        <v>7.6985249545362594E-2</v>
      </c>
    </row>
    <row r="170" spans="1:11" x14ac:dyDescent="0.5">
      <c r="A170" s="3" cm="1">
        <f t="array" ref="A170">INDEX(Tencent!$A$2:$A$173,ROWS(Tencent!$A$2:$A$173)-ROW(A169)+1)</f>
        <v>46174</v>
      </c>
      <c r="B170" s="4">
        <f>(Apple!D170-Apple!E170)/Apple!E170</f>
        <v>7.4690567648314124E-2</v>
      </c>
      <c r="C170" s="4">
        <f>(Microsoft!D170-Microsoft!E170)/Microsoft!E170</f>
        <v>6.2878278412911937E-2</v>
      </c>
      <c r="D170" s="4">
        <f>(Google!D170-Google!E170)/Google!E170</f>
        <v>0.13590504451038568</v>
      </c>
      <c r="E170" s="4">
        <f>(Amazon!D170-Amazon!E170)/Amazon!E170</f>
        <v>8.0130825838103062E-2</v>
      </c>
      <c r="F170" s="4">
        <f>(NVIDIA!D170-NVIDIA!E170)/NVIDIA!E170</f>
        <v>9.3749999999999903E-2</v>
      </c>
      <c r="G170" s="4">
        <f>('Meta(Facebook)'!D170-'Meta(Facebook)'!E170)/'Meta(Facebook)'!E170</f>
        <v>0.33162393162393161</v>
      </c>
      <c r="H170" s="4">
        <f>('Samsung 005930'!D170-'Samsung 005930'!E170)/'Samsung 005930'!E170</f>
        <v>0.1438183347350715</v>
      </c>
      <c r="I170" s="4">
        <f>(Tesla!D170-Tesla!E170)/Tesla!E170</f>
        <v>0.20329670329670321</v>
      </c>
      <c r="J170" s="4">
        <f>(Intel!D170-Intel!E170)/Intel!E170</f>
        <v>0.11654804270462638</v>
      </c>
      <c r="K170" s="4">
        <f>(Tencent!D170-Tencent!E170)/Tencent!E170</f>
        <v>0.13732861565678905</v>
      </c>
    </row>
    <row r="171" spans="1:11" x14ac:dyDescent="0.5">
      <c r="A171" s="3" cm="1">
        <f t="array" ref="A171">INDEX(Tencent!$A$2:$A$173,ROWS(Tencent!$A$2:$A$173)-ROW(A170)+1)</f>
        <v>46204</v>
      </c>
      <c r="B171" s="4">
        <f>(Apple!D171-Apple!E171)/Apple!E171</f>
        <v>0.13432835820895517</v>
      </c>
      <c r="C171" s="4">
        <f>(Microsoft!D171-Microsoft!E171)/Microsoft!E171</f>
        <v>6.8691750086296244E-2</v>
      </c>
      <c r="D171" s="4">
        <f>(Google!D171-Google!E171)/Google!E171</f>
        <v>0.10512820512820506</v>
      </c>
      <c r="E171" s="4">
        <f>(Amazon!D171-Amazon!E171)/Amazon!E171</f>
        <v>9.3613298337707818E-2</v>
      </c>
      <c r="F171" s="4">
        <f>(NVIDIA!D171-NVIDIA!E171)/NVIDIA!E171</f>
        <v>0.15151515151515146</v>
      </c>
      <c r="G171" s="4">
        <f>('Meta(Facebook)'!D171-'Meta(Facebook)'!E171)/'Meta(Facebook)'!E171</f>
        <v>0.24514697726012191</v>
      </c>
      <c r="H171" s="4">
        <f>('Samsung 005930'!D171-'Samsung 005930'!E171)/'Samsung 005930'!E171</f>
        <v>0.15515771526001704</v>
      </c>
      <c r="I171" s="4">
        <f>(Tesla!D171-Tesla!E171)/Tesla!E171</f>
        <v>0.22941176470588232</v>
      </c>
      <c r="J171" s="4">
        <f>(Intel!D171-Intel!E171)/Intel!E171</f>
        <v>0.11387163561076605</v>
      </c>
      <c r="K171" s="4">
        <f>(Tencent!D171-Tencent!E171)/Tencent!E171</f>
        <v>0.12571690754760259</v>
      </c>
    </row>
    <row r="172" spans="1:11" x14ac:dyDescent="0.5">
      <c r="A172" s="3" cm="1">
        <f t="array" ref="A172">INDEX(Tencent!$A$2:$A$173,ROWS(Tencent!$A$2:$A$173)-ROW(A171)+1)</f>
        <v>46235</v>
      </c>
      <c r="B172" s="4">
        <f>(Apple!D172-Apple!E172)/Apple!E172</f>
        <v>8.7426326129666068E-2</v>
      </c>
      <c r="C172" s="4">
        <f>(Microsoft!D172-Microsoft!E172)/Microsoft!E172</f>
        <v>8.7946741415557167E-2</v>
      </c>
      <c r="D172" s="4">
        <f>(Google!D172-Google!E172)/Google!E172</f>
        <v>0.14285714285714271</v>
      </c>
      <c r="E172" s="4">
        <f>(Amazon!D172-Amazon!E172)/Amazon!E172</f>
        <v>0.13264346190028206</v>
      </c>
      <c r="F172" s="4">
        <f>(NVIDIA!D172-NVIDIA!E172)/NVIDIA!E172</f>
        <v>0.16666666666666663</v>
      </c>
      <c r="G172" s="4">
        <f>('Meta(Facebook)'!D172-'Meta(Facebook)'!E172)/'Meta(Facebook)'!E172</f>
        <v>0.52151781582600665</v>
      </c>
      <c r="H172" s="4">
        <f>('Samsung 005930'!D172-'Samsung 005930'!E172)/'Samsung 005930'!E172</f>
        <v>0.22273143904674611</v>
      </c>
      <c r="I172" s="4">
        <f>(Tesla!D172-Tesla!E172)/Tesla!E172</f>
        <v>0.32596685082872917</v>
      </c>
      <c r="J172" s="4">
        <f>(Intel!D172-Intel!E172)/Intel!E172</f>
        <v>8.8330632090761738E-2</v>
      </c>
      <c r="K172" s="4">
        <f>(Tencent!D172-Tencent!E172)/Tencent!E172</f>
        <v>9.6759041803663806E-2</v>
      </c>
    </row>
    <row r="173" spans="1:11" x14ac:dyDescent="0.5">
      <c r="A173" s="3" cm="1">
        <f t="array" ref="A173">INDEX(Tencent!$A$2:$A$173,ROWS(Tencent!$A$2:$A$173)-ROW(A172)+1)</f>
        <v>46266</v>
      </c>
      <c r="B173" s="4">
        <f>(Apple!D173-Apple!E173)/Apple!E173</f>
        <v>7.5548749361919368E-2</v>
      </c>
      <c r="C173" s="4">
        <f>(Microsoft!D173-Microsoft!E173)/Microsoft!E173</f>
        <v>9.957627118644069E-2</v>
      </c>
      <c r="D173" s="4">
        <f>(Google!D173-Google!E173)/Google!E173</f>
        <v>5.5994256999282205E-2</v>
      </c>
      <c r="E173" s="4">
        <f>(Amazon!D173-Amazon!E173)/Amazon!E173</f>
        <v>0.10658914728682167</v>
      </c>
      <c r="F173" s="4">
        <f>(NVIDIA!D173-NVIDIA!E173)/NVIDIA!E173</f>
        <v>0.20689655172413793</v>
      </c>
      <c r="G173" s="4">
        <f>('Meta(Facebook)'!D173-'Meta(Facebook)'!E173)/'Meta(Facebook)'!E173</f>
        <v>0.31073667711598757</v>
      </c>
      <c r="H173" s="4">
        <f>('Samsung 005930'!D173-'Samsung 005930'!E173)/'Samsung 005930'!E173</f>
        <v>0.13031914893617022</v>
      </c>
      <c r="I173" s="4">
        <f>(Tesla!D173-Tesla!E173)/Tesla!E173</f>
        <v>0.27071823204419876</v>
      </c>
      <c r="J173" s="4">
        <f>(Intel!D173-Intel!E173)/Intel!E173</f>
        <v>0.11714975845410629</v>
      </c>
      <c r="K173" s="4">
        <f>(Tencent!D173-Tencent!E173)/Tencent!E173</f>
        <v>0.17922863624905469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Apple</vt:lpstr>
      <vt:lpstr>Microsoft</vt:lpstr>
      <vt:lpstr>Google</vt:lpstr>
      <vt:lpstr>Amazon</vt:lpstr>
      <vt:lpstr>NVIDIA</vt:lpstr>
      <vt:lpstr>Meta(Facebook)</vt:lpstr>
      <vt:lpstr>Samsung 005930</vt:lpstr>
      <vt:lpstr>Tesla</vt:lpstr>
      <vt:lpstr>Intel</vt:lpstr>
      <vt:lpstr>Tencent</vt:lpstr>
      <vt:lpstr>close</vt:lpstr>
      <vt:lpstr>C_zardal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Narangoo Ganbaatar</dc:creator>
  <cp:lastModifiedBy>User</cp:lastModifiedBy>
  <dcterms:created xsi:type="dcterms:W3CDTF">2025-07-05T02:51:47Z</dcterms:created>
  <dcterms:modified xsi:type="dcterms:W3CDTF">2026-09-21T13:25:48Z</dcterms:modified>
</cp:coreProperties>
</file>